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ap 2026" sheetId="1" r:id="rId5"/>
    <sheet state="visible" name="Sales - " sheetId="2" r:id="rId6"/>
    <sheet state="visible" name="Leads Recap" sheetId="3" r:id="rId7"/>
    <sheet state="visible" name="Appt Recap" sheetId="4" r:id="rId8"/>
    <sheet state="visible" name="Hatch Recap" sheetId="5" r:id="rId9"/>
    <sheet state="visible" name="Hatch responses" sheetId="6" r:id="rId10"/>
    <sheet state="visible" name="Bad Leads - Morgan" sheetId="7" r:id="rId11"/>
  </sheets>
  <definedNames/>
  <calcPr/>
</workbook>
</file>

<file path=xl/sharedStrings.xml><?xml version="1.0" encoding="utf-8"?>
<sst xmlns="http://schemas.openxmlformats.org/spreadsheetml/2006/main" count="537" uniqueCount="308">
  <si>
    <t>Peak Leads Group - 2026</t>
  </si>
  <si>
    <t>Leads</t>
  </si>
  <si>
    <t>RAW Appt</t>
  </si>
  <si>
    <t>Appt Issued</t>
  </si>
  <si>
    <t>Demo</t>
  </si>
  <si>
    <t>Sale #</t>
  </si>
  <si>
    <t>Sale $</t>
  </si>
  <si>
    <t>Advertsing $</t>
  </si>
  <si>
    <t>Advertsing %</t>
  </si>
  <si>
    <t>Lead to RAW Appt</t>
  </si>
  <si>
    <t>Appointment Issue Rate</t>
  </si>
  <si>
    <t>Demo Rate</t>
  </si>
  <si>
    <t>Sold to Appt Issued</t>
  </si>
  <si>
    <t>NLIS</t>
  </si>
  <si>
    <t>January</t>
  </si>
  <si>
    <t>February</t>
  </si>
  <si>
    <t>March</t>
  </si>
  <si>
    <t>April</t>
  </si>
  <si>
    <t>May</t>
  </si>
  <si>
    <t>June</t>
  </si>
  <si>
    <t>July</t>
  </si>
  <si>
    <t>August</t>
  </si>
  <si>
    <t>September</t>
  </si>
  <si>
    <t>October</t>
  </si>
  <si>
    <t>November</t>
  </si>
  <si>
    <t>December</t>
  </si>
  <si>
    <t>Totals</t>
  </si>
  <si>
    <t>Cost per</t>
  </si>
  <si>
    <t>RAW to Issued</t>
  </si>
  <si>
    <t>Issued to Demo</t>
  </si>
  <si>
    <t>Demo to Sale</t>
  </si>
  <si>
    <t>NSLI</t>
  </si>
  <si>
    <t>Advertising %</t>
  </si>
  <si>
    <t>Franchise</t>
  </si>
  <si>
    <t>lead source</t>
  </si>
  <si>
    <t>Contact Name</t>
  </si>
  <si>
    <t>Landed Date</t>
  </si>
  <si>
    <t>Landed Amount</t>
  </si>
  <si>
    <t>Sales Person</t>
  </si>
  <si>
    <t>Status</t>
  </si>
  <si>
    <t>Peak Leads Group</t>
  </si>
  <si>
    <t>Ramesh Singh</t>
  </si>
  <si>
    <t>Tom Seesz</t>
  </si>
  <si>
    <t>Less Cancels</t>
  </si>
  <si>
    <t>Net Revenue</t>
  </si>
  <si>
    <t>Name</t>
  </si>
  <si>
    <t>Pri Phone</t>
  </si>
  <si>
    <t>Category</t>
  </si>
  <si>
    <t>May Ly</t>
  </si>
  <si>
    <t>(612) 443-3866</t>
  </si>
  <si>
    <t>1. LEAD - NEW</t>
  </si>
  <si>
    <t>Christine Kusensela</t>
  </si>
  <si>
    <t>(651) 428-0927</t>
  </si>
  <si>
    <t>Naomi Gonzalez</t>
  </si>
  <si>
    <t>(651) 332-0567</t>
  </si>
  <si>
    <t>Gloria Nakanwagi</t>
  </si>
  <si>
    <t>(651) 800-6244</t>
  </si>
  <si>
    <t>2. APPOINTMENT</t>
  </si>
  <si>
    <t>Latisha Austin</t>
  </si>
  <si>
    <t>(763) 352-2477</t>
  </si>
  <si>
    <t>George {last_name}</t>
  </si>
  <si>
    <t>(612) 239-9656</t>
  </si>
  <si>
    <t>Elizabeth &amp; Frank Hill</t>
  </si>
  <si>
    <t>(952) 381-1081</t>
  </si>
  <si>
    <t>Fatu Ballah</t>
  </si>
  <si>
    <t>(612) 601-4010</t>
  </si>
  <si>
    <t>Hawa Jama</t>
  </si>
  <si>
    <t>(612) 400-2494</t>
  </si>
  <si>
    <t>Sarah Spencer</t>
  </si>
  <si>
    <t>(651) 675-6834</t>
  </si>
  <si>
    <t>Joor Erin</t>
  </si>
  <si>
    <t>(651) 983-2388</t>
  </si>
  <si>
    <t>T Meggg</t>
  </si>
  <si>
    <t>(651) 308-6718</t>
  </si>
  <si>
    <t>Heidi Sonju</t>
  </si>
  <si>
    <t>(651) 600-4279</t>
  </si>
  <si>
    <t>Andtre Hamlin</t>
  </si>
  <si>
    <t>(651) 263-6938</t>
  </si>
  <si>
    <t>Jason Oâ€™Higgins</t>
  </si>
  <si>
    <t>(630) 995-5425</t>
  </si>
  <si>
    <t>DANYA D</t>
  </si>
  <si>
    <t>(952) 210-4649</t>
  </si>
  <si>
    <t>Blake Lankford</t>
  </si>
  <si>
    <t>(612) 810-2759</t>
  </si>
  <si>
    <t>David Roach</t>
  </si>
  <si>
    <t>(813) 965-2814</t>
  </si>
  <si>
    <t>Pam Olander</t>
  </si>
  <si>
    <t>(763) 712-5705</t>
  </si>
  <si>
    <t>Sam Fischer</t>
  </si>
  <si>
    <t>(612) 270-4981</t>
  </si>
  <si>
    <t>Dorothy evans</t>
  </si>
  <si>
    <t>(763) 292-1388</t>
  </si>
  <si>
    <t>Bonnie Prestegsrd</t>
  </si>
  <si>
    <t>(507) 356-8517</t>
  </si>
  <si>
    <t>6. Future Follow-up</t>
  </si>
  <si>
    <t>Robi Nash</t>
  </si>
  <si>
    <t>(612) 281-5480</t>
  </si>
  <si>
    <t>Linda Crawford</t>
  </si>
  <si>
    <t>(507) 696-0211</t>
  </si>
  <si>
    <t>Kamni Velmohan</t>
  </si>
  <si>
    <t>(937) 279-7588</t>
  </si>
  <si>
    <t>3. Proposal</t>
  </si>
  <si>
    <t>Ramatu Dassama</t>
  </si>
  <si>
    <t>(609) 481-9788</t>
  </si>
  <si>
    <t>Julie Adler</t>
  </si>
  <si>
    <t>(507) 421-8004</t>
  </si>
  <si>
    <t>Frances Cuenca</t>
  </si>
  <si>
    <t>(651) 661-3912</t>
  </si>
  <si>
    <t>Connie Anderson</t>
  </si>
  <si>
    <t>(507) 271-7961</t>
  </si>
  <si>
    <t>Brenda Brazilian</t>
  </si>
  <si>
    <t>(763) 682-6333</t>
  </si>
  <si>
    <t>Esther Swen</t>
  </si>
  <si>
    <t>(612) 275-0254</t>
  </si>
  <si>
    <t>Esther Barrera</t>
  </si>
  <si>
    <t>(612) 483-4608</t>
  </si>
  <si>
    <t>Thomas Paye</t>
  </si>
  <si>
    <t>(612) 231-5843</t>
  </si>
  <si>
    <t>Ever Bless</t>
  </si>
  <si>
    <t>(651) 515-4252</t>
  </si>
  <si>
    <t>Cliff Wilson</t>
  </si>
  <si>
    <t>(651) 249-4181</t>
  </si>
  <si>
    <t>helene hart</t>
  </si>
  <si>
    <t>(763) 416-7862</t>
  </si>
  <si>
    <t>Tony Stokes</t>
  </si>
  <si>
    <t>(612) 986-8286</t>
  </si>
  <si>
    <t>Karen Asplund</t>
  </si>
  <si>
    <t>(507) 213-8614</t>
  </si>
  <si>
    <t>Lam Nguyen</t>
  </si>
  <si>
    <t>(952) 297-5195</t>
  </si>
  <si>
    <t>Joe Gullo</t>
  </si>
  <si>
    <t>(612) 501-6567</t>
  </si>
  <si>
    <t>Kenyada Beasley</t>
  </si>
  <si>
    <t>(763) 228-8273</t>
  </si>
  <si>
    <t>Abdul Osumanu</t>
  </si>
  <si>
    <t>(507) 923-9003</t>
  </si>
  <si>
    <t>Abdulla &amp; Kristina Reed</t>
  </si>
  <si>
    <t>(651) 308-2575</t>
  </si>
  <si>
    <t>Bedassa Tadesse</t>
  </si>
  <si>
    <t>(218) 340-3538</t>
  </si>
  <si>
    <t>Austin Mueller</t>
  </si>
  <si>
    <t>(320) 296-9544</t>
  </si>
  <si>
    <t>Wanda H</t>
  </si>
  <si>
    <t>(763) 442-5049</t>
  </si>
  <si>
    <t>Eric Zitzloff</t>
  </si>
  <si>
    <t>(612) 356-2553</t>
  </si>
  <si>
    <t>Doug Clay</t>
  </si>
  <si>
    <t>(320) 267-3368</t>
  </si>
  <si>
    <t>Dave Thompson</t>
  </si>
  <si>
    <t>(612) 759-2984</t>
  </si>
  <si>
    <t>STOP SPAMMING</t>
  </si>
  <si>
    <t>(952) 456-9854</t>
  </si>
  <si>
    <t>Ebenezer Otu</t>
  </si>
  <si>
    <t>(651) 208-0162</t>
  </si>
  <si>
    <t>Jeff Omangi</t>
  </si>
  <si>
    <t>(952) 457-6033</t>
  </si>
  <si>
    <t>RANDY FRICK</t>
  </si>
  <si>
    <t>(612) 387-9662</t>
  </si>
  <si>
    <t>Jean Rehbein</t>
  </si>
  <si>
    <t>(651) 336-4326</t>
  </si>
  <si>
    <t>Marcus Blamoh</t>
  </si>
  <si>
    <t>(240) 264-7466</t>
  </si>
  <si>
    <t>Rob Nash</t>
  </si>
  <si>
    <t>John Wobbrock</t>
  </si>
  <si>
    <t>(507) 382-4077</t>
  </si>
  <si>
    <t>Selam &amp; Todd Ungers</t>
  </si>
  <si>
    <t>(507) 202-6151</t>
  </si>
  <si>
    <t>Riley Baker</t>
  </si>
  <si>
    <t>(763) 301-6666</t>
  </si>
  <si>
    <t>Alpha Sowe</t>
  </si>
  <si>
    <t>(612) 666-7511</t>
  </si>
  <si>
    <t>Dorothy Evans</t>
  </si>
  <si>
    <t>Mariah Glago</t>
  </si>
  <si>
    <t>(763) 300-8417</t>
  </si>
  <si>
    <t>7. Lead Dead</t>
  </si>
  <si>
    <t>Beth &amp; Doug Breeden</t>
  </si>
  <si>
    <t>(612) 308-1892</t>
  </si>
  <si>
    <t>Abdimahad Santur &amp; Ladan Nur</t>
  </si>
  <si>
    <t>(952) 652-1484</t>
  </si>
  <si>
    <t>Craig Heyrman</t>
  </si>
  <si>
    <t>(404) 944-4559</t>
  </si>
  <si>
    <t>(701) 541-6646</t>
  </si>
  <si>
    <t>4. SOLD</t>
  </si>
  <si>
    <t>Troy Mystrom</t>
  </si>
  <si>
    <t>(651) 440-6081</t>
  </si>
  <si>
    <t>George Flowers</t>
  </si>
  <si>
    <t>(267) 670-3231</t>
  </si>
  <si>
    <t>Mike &amp; Varma Hollywood</t>
  </si>
  <si>
    <t>(763) 923-3395</t>
  </si>
  <si>
    <t>mitch weaver</t>
  </si>
  <si>
    <t>(612) 867-9323</t>
  </si>
  <si>
    <t>John Vannucci</t>
  </si>
  <si>
    <t>(952) 687-7617</t>
  </si>
  <si>
    <t>Chris Oehrlein</t>
  </si>
  <si>
    <t>(651) 271-2758</t>
  </si>
  <si>
    <t>Solomon &amp; BC Awosanya</t>
  </si>
  <si>
    <t>(651) 621-0113</t>
  </si>
  <si>
    <t>David Fox</t>
  </si>
  <si>
    <t>(414) 491-6811</t>
  </si>
  <si>
    <t>Peter Vang</t>
  </si>
  <si>
    <t>(612) 888-1563</t>
  </si>
  <si>
    <t>Mike &amp; Anna Mohn</t>
  </si>
  <si>
    <t>(612) 913-8500</t>
  </si>
  <si>
    <t>Juan Aviles</t>
  </si>
  <si>
    <t>(952) 905-8955</t>
  </si>
  <si>
    <t>Marilyn Proulx</t>
  </si>
  <si>
    <t>(612) 237-4740</t>
  </si>
  <si>
    <t>Olu Ozek</t>
  </si>
  <si>
    <t>(763) 221-4381</t>
  </si>
  <si>
    <t>Sando Dorley</t>
  </si>
  <si>
    <t>(610) 316-1292</t>
  </si>
  <si>
    <t>Mike DeBlair</t>
  </si>
  <si>
    <t>(507) 720-5953</t>
  </si>
  <si>
    <t>Christy Hurley</t>
  </si>
  <si>
    <t>(651) 470-9334</t>
  </si>
  <si>
    <t>Lily Larkson</t>
  </si>
  <si>
    <t>(612) 588-5286</t>
  </si>
  <si>
    <t>Shalini Nath</t>
  </si>
  <si>
    <t>(612) 306-3333</t>
  </si>
  <si>
    <t>Ca Va</t>
  </si>
  <si>
    <t>(763) 898-0045</t>
  </si>
  <si>
    <t>Bedassa &amp; Iftu Tadesse</t>
  </si>
  <si>
    <t>Bijay &amp; Suk Motey</t>
  </si>
  <si>
    <t>(612) 800-3911</t>
  </si>
  <si>
    <t>Rodney Beystrom</t>
  </si>
  <si>
    <t>(952) 769-3011</t>
  </si>
  <si>
    <t>Rocky Friede</t>
  </si>
  <si>
    <t>(612) 369-0324</t>
  </si>
  <si>
    <t>Laurie Dan Fitzgerald</t>
  </si>
  <si>
    <t>(651) 271-6175</t>
  </si>
  <si>
    <t>Paul C. LaManna</t>
  </si>
  <si>
    <t>(651) 373-5318</t>
  </si>
  <si>
    <t>Phillip Gray</t>
  </si>
  <si>
    <t>(612) 290-0885</t>
  </si>
  <si>
    <t>Eric Kangar</t>
  </si>
  <si>
    <t>(612) 239-7943</t>
  </si>
  <si>
    <t>Enrique Villanueva</t>
  </si>
  <si>
    <t>(320) 552-4511</t>
  </si>
  <si>
    <t>John Lown</t>
  </si>
  <si>
    <t>(612) 750-4327</t>
  </si>
  <si>
    <t>Annette &amp; Frederick Wilson</t>
  </si>
  <si>
    <t>(612) 328-6091</t>
  </si>
  <si>
    <t>Joe Aberman</t>
  </si>
  <si>
    <t>(240) 457-2123</t>
  </si>
  <si>
    <t>Randy &amp; Jill Duevel</t>
  </si>
  <si>
    <t>(612) 965-4814</t>
  </si>
  <si>
    <t>Id</t>
  </si>
  <si>
    <t>Alt Phone</t>
  </si>
  <si>
    <t>Email</t>
  </si>
  <si>
    <t>Company</t>
  </si>
  <si>
    <t>Channel</t>
  </si>
  <si>
    <t>Lead Date</t>
  </si>
  <si>
    <t>Appt Date</t>
  </si>
  <si>
    <t>Sales Rep</t>
  </si>
  <si>
    <t>Rating</t>
  </si>
  <si>
    <t>Quote</t>
  </si>
  <si>
    <t>Notes</t>
  </si>
  <si>
    <t>he wanted us to do our system on all the walls in his bathroom. He said he saw a video online and told me that our product looked nothing like what the video was. It wasn't shiny enough. He wanted a whole bathroom remodel told me the price was too too high. He was willing to do it for 15,000.</t>
  </si>
  <si>
    <t>Ostin Tuma</t>
  </si>
  <si>
    <t>Had people installing windows when I got there. Spoke about budget and that's all he wanted. He doesn't want 2 loans, wants to pay off windows before he does the bathroom project.</t>
  </si>
  <si>
    <t>Mike Smeed</t>
  </si>
  <si>
    <t xml:space="preserve">Alpha was sleeping when I arrived.. Wife was not present and he didn't have a plan on what he wanted.. </t>
  </si>
  <si>
    <t xml:space="preserve">Wife was not present and she will have a say in decision </t>
  </si>
  <si>
    <t>Jeff Counter</t>
  </si>
  <si>
    <t>Bank reject. No options available. SALE BANK REJECT.</t>
  </si>
  <si>
    <t>Tori Wilburn</t>
  </si>
  <si>
    <t xml:space="preserve">One leg with Tony. Super cool guy. Not sure why he had me there because he’s a GC and has guys that can do the entire bath for the cost of our massive custom Onyx WIS lol. Came in at 35,350. I asked him straight up if he would drop a cool 35gs on a WIS when he and his people can do it for a fraction and he said yes because it would be the showstopper of the bathroom. He told me in the first ten mins he already picked up allll the tile for this project for $1,800 and I told him I’d be happy to shower him what we can do and he was interested in seeing Onyx. 72x48 with a pony wall and custom glass. Said he’s gonna talk to wifey tonight and lmk tomorrow. He gut and remodeled the entire house and it’s honestly beautiful so I’m just confused why he’s thinking about subbing it out to us but I’ll happily hook Mr. Tony up with a showstopping shower </t>
  </si>
  <si>
    <t>Chris Cornolo</t>
  </si>
  <si>
    <t xml:space="preserve">D - 2 commercial bathrooms in a church. Needs partitions, urinals, and tile work. Partially confused why this appointment was set. </t>
  </si>
  <si>
    <t xml:space="preserve">Met with Mr. Only. Wife was a doctor. Home was built in 2020. Interested in replacing master shower. No issues. Just builder grade/fiberglass. Going to chat with wife and get back to me </t>
  </si>
  <si>
    <t>Has 2 others coming in behind me. Price was ok. Mr put in a tub himself and cut sheetrock around surround 2' past enclosure. wants to get done.</t>
  </si>
  <si>
    <t xml:space="preserve">Rental unit possibly 2 to 3 bathrooms. Thought it was a lot of money said he needs time to think about it and get other beds. We'll make a decision in a week follow up February </t>
  </si>
  <si>
    <t>Group home..getting more bids</t>
  </si>
  <si>
    <t xml:space="preserve">D - Mr. Only, Mrs was not available. Customer thought a whole bathroom would be $4/$5k. </t>
  </si>
  <si>
    <t>Appointment Cancelled</t>
  </si>
  <si>
    <t>Sold</t>
  </si>
  <si>
    <t>David &amp; Robert Fox</t>
  </si>
  <si>
    <t>Met with Mr and his husband. Very nice home built in 2019. No major issues, but this was one of 4 projects they are considering. They were drunk, and had mad city out the day before for cabinet refacing, and absolutely hated the presentation and process. $35k for the k</t>
  </si>
  <si>
    <t>Tom Jaeger</t>
  </si>
  <si>
    <t>Cancelled</t>
  </si>
  <si>
    <t>Marliyn Proulx</t>
  </si>
  <si>
    <t>Sarah Money</t>
  </si>
  <si>
    <t>Homeowner gave not correct address, its the house across the street, would have to get right address, just wanted shower walls nothing else, got pricing from Ken, going to sleep on it, their contractor was there the whole time listening…..they wanted onyx</t>
  </si>
  <si>
    <t>moteybijay01@gmail.com</t>
  </si>
  <si>
    <t xml:space="preserve">Said they had a bid from "KDesign" for 10K.. I highly doubt it. </t>
  </si>
  <si>
    <t>rodneybey@mchsi.com</t>
  </si>
  <si>
    <t>Wasn't happy that I was a half hour late due to previous appt.  Had company coming back. Basement bath. When I got there he said, let's cut to the case, I have a bid for $8,000 and I told that guy that was too much money. Said he is going to do it himself if we can't beat that price.</t>
  </si>
  <si>
    <t>paulclamanna@icloud.com</t>
  </si>
  <si>
    <t>Homeowner wanted to replace his tub shower, he was definitely on some drug and wasn't completely all there, he said he had Trident and Mad City scheduled but then tried to rebook on our calendar again, he was trying to get it done for 10k he thought that was a lot, but wanted a door and rain combo and subway tile walls</t>
  </si>
  <si>
    <t>ekangar154@gmail.com</t>
  </si>
  <si>
    <t>D.  Customer was not very nice. Rude. Complete bathroom remodel when I gave them price 29,833. He told me it was way too much money. His budget was 10 to 12,000 we were the first end he's getting one more bid on Friday told me if the next bid was not in his price range he wasn't gonna do anything. There were no issues with the bathroom other than it was filthy dirty. ￼</t>
  </si>
  <si>
    <t>annette7450berkshire@yahoo.com</t>
  </si>
  <si>
    <t>Gave them pricing. He said that his budget was $6000. Also told me we were approximately the same price as the Debella.￼</t>
  </si>
  <si>
    <t>rjduevel@yahoo.com</t>
  </si>
  <si>
    <t>when I got there, the whole bathroom has been gutted. He asked me how far out are we? I said 6 to 8 weeks. He didn't like that, but he could live with it. When I was given him my presentation and we talked about if you want to Menards and bought the product and did it himself it'd be about six to $8000. He looked at me and said while my budget is eight to $10,000 I talked to him into letting me go on gave him the price over $20,000. He did informed me that he did a bathroom four years ago and he did the whole bathroom for $20,000. All we were bidding out was a 36 x 60 shower base with glass walls 90° return panel and moving the toilet when he asked me what the toilet would cost to move it. I told him a little under $1000. He laughed at me and said it's only 30 inches that I wanna move it. I said well that's what it is. He then said I guess I'll be doing it myself. ￼</t>
  </si>
  <si>
    <t>Month</t>
  </si>
  <si>
    <t>Contacts Launched</t>
  </si>
  <si>
    <t>Contact Responds</t>
  </si>
  <si>
    <t>Response Rate</t>
  </si>
  <si>
    <t>Sales</t>
  </si>
  <si>
    <t>Added to Campaign</t>
  </si>
  <si>
    <t>Response Date</t>
  </si>
  <si>
    <t>Sold Status</t>
  </si>
  <si>
    <t>Response</t>
  </si>
  <si>
    <t>Source</t>
  </si>
  <si>
    <t>Date</t>
  </si>
  <si>
    <t>Reason</t>
  </si>
  <si>
    <t>Refund Requested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</si>
</sst>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quot;$&quot;#,##0.00"/>
    <numFmt numFmtId="166" formatCode="mm/dd/yyyy"/>
    <numFmt numFmtId="167" formatCode="m/d/yyyy h:mm"/>
    <numFmt numFmtId="168" formatCode="m/d/yy"/>
    <numFmt numFmtId="169" formatCode="mm/dd/yy"/>
    <numFmt numFmtId="170" formatCode="m/d/yyyy"/>
    <numFmt numFmtId="171" formatCode="mm-dd-yy"/>
  </numFmts>
  <fonts count="22">
    <font>
      <sz val="10.0"/>
      <color rgb="FF000000"/>
      <name val="Arial"/>
      <scheme val="minor"/>
    </font>
    <font>
      <color theme="1"/>
      <name val="Arial"/>
      <scheme val="minor"/>
    </font>
    <font>
      <b/>
      <color theme="1"/>
      <name val="Arial"/>
      <scheme val="minor"/>
    </font>
    <font>
      <b/>
      <color theme="1"/>
      <name val="Arial"/>
    </font>
    <font>
      <color theme="1"/>
      <name val="Arial"/>
    </font>
    <font>
      <sz val="11.0"/>
      <color theme="1"/>
      <name val="Calibri"/>
    </font>
    <font>
      <b/>
      <color rgb="FFFFFFFF"/>
      <name val="Verdana"/>
    </font>
    <font>
      <color rgb="FF333333"/>
      <name val="Verdana"/>
    </font>
    <font>
      <color rgb="FFFFFFFF"/>
      <name val="Verdana"/>
    </font>
    <font>
      <sz val="11.0"/>
      <color rgb="FF000000"/>
      <name val="&quot;Aptos Narrow&quot;"/>
    </font>
    <font>
      <sz val="11.0"/>
      <color rgb="FF000000"/>
      <name val="Arial"/>
    </font>
    <font>
      <color theme="1"/>
      <name val="Roboto"/>
    </font>
    <font>
      <sz val="15.0"/>
      <color theme="1"/>
      <name val="Roboto"/>
    </font>
    <font>
      <sz val="15.0"/>
      <color rgb="FF000000"/>
      <name val="Roboto"/>
    </font>
    <font>
      <color rgb="FF000000"/>
      <name val="Roboto"/>
    </font>
    <font>
      <color rgb="FF8D959C"/>
      <name val="Muli"/>
    </font>
    <font>
      <sz val="12.0"/>
      <color rgb="FF2F1359"/>
      <name val="Muli"/>
    </font>
    <font>
      <b/>
      <color rgb="FF8D959C"/>
      <name val="Muli"/>
    </font>
    <font>
      <sz val="9.0"/>
      <color rgb="FF991D1B"/>
      <name val="Muli"/>
    </font>
    <font>
      <color theme="1"/>
      <name val="Muli"/>
    </font>
    <font>
      <sz val="12.0"/>
      <color rgb="FF000000"/>
      <name val="Muli"/>
    </font>
    <font>
      <sz val="8.0"/>
      <color rgb="FF000000"/>
      <name val="Verdana"/>
    </font>
  </fonts>
  <fills count="5">
    <fill>
      <patternFill patternType="none"/>
    </fill>
    <fill>
      <patternFill patternType="lightGray"/>
    </fill>
    <fill>
      <patternFill patternType="solid">
        <fgColor rgb="FF00639B"/>
        <bgColor rgb="FF00639B"/>
      </patternFill>
    </fill>
    <fill>
      <patternFill patternType="solid">
        <fgColor rgb="FFE0E0E0"/>
        <bgColor rgb="FFE0E0E0"/>
      </patternFill>
    </fill>
    <fill>
      <patternFill patternType="solid">
        <fgColor rgb="FFFFFFFF"/>
        <bgColor rgb="FFFFFFF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right/>
      <top/>
      <bottom/>
    </border>
    <border>
      <left style="thin">
        <color rgb="FF000000"/>
      </left>
      <right style="thin">
        <color rgb="FF000000"/>
      </right>
      <top style="thin">
        <color rgb="FF000000"/>
      </top>
      <bottom style="thin">
        <color rgb="FF000000"/>
      </bottom>
    </border>
    <border>
      <bottom style="thin">
        <color rgb="FFEDEEF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vertical="bottom"/>
    </xf>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4" fillId="0" fontId="3" numFmtId="0" xfId="0" applyAlignment="1" applyBorder="1" applyFont="1">
      <alignment readingOrder="0" shrinkToFit="0" vertical="bottom" wrapText="1"/>
    </xf>
    <xf borderId="4" fillId="0" fontId="3" numFmtId="0" xfId="0" applyAlignment="1" applyBorder="1" applyFont="1">
      <alignment shrinkToFit="0" vertical="bottom" wrapText="1"/>
    </xf>
    <xf borderId="5" fillId="0" fontId="3" numFmtId="0" xfId="0" applyAlignment="1" applyBorder="1" applyFont="1">
      <alignment shrinkToFit="0" vertical="bottom" wrapText="1"/>
    </xf>
    <xf borderId="5" fillId="0" fontId="3" numFmtId="0" xfId="0" applyAlignment="1" applyBorder="1" applyFont="1">
      <alignment horizontal="center" readingOrder="0" vertical="bottom"/>
    </xf>
    <xf borderId="0" fillId="0" fontId="1" numFmtId="0" xfId="0" applyAlignment="1" applyFont="1">
      <alignment readingOrder="0"/>
    </xf>
    <xf borderId="0" fillId="0" fontId="1" numFmtId="0" xfId="0" applyAlignment="1" applyFont="1">
      <alignment horizontal="center" readingOrder="0"/>
    </xf>
    <xf borderId="0" fillId="0" fontId="1" numFmtId="164" xfId="0" applyAlignment="1" applyFont="1" applyNumberFormat="1">
      <alignment readingOrder="0"/>
    </xf>
    <xf borderId="0" fillId="0" fontId="1" numFmtId="10" xfId="0" applyFont="1" applyNumberFormat="1"/>
    <xf borderId="0" fillId="0" fontId="4" numFmtId="10" xfId="0" applyAlignment="1" applyFont="1" applyNumberFormat="1">
      <alignment horizontal="right" vertical="bottom"/>
    </xf>
    <xf borderId="0" fillId="0" fontId="4" numFmtId="164" xfId="0" applyAlignment="1" applyFont="1" applyNumberFormat="1">
      <alignment vertical="bottom"/>
    </xf>
    <xf borderId="0" fillId="0" fontId="5" numFmtId="0" xfId="0" applyAlignment="1" applyFont="1">
      <alignment horizontal="center" readingOrder="0" vertical="bottom"/>
    </xf>
    <xf borderId="0" fillId="0" fontId="5" numFmtId="164" xfId="0" applyAlignment="1" applyFont="1" applyNumberFormat="1">
      <alignment horizontal="right" readingOrder="0" vertical="bottom"/>
    </xf>
    <xf borderId="5" fillId="0" fontId="1" numFmtId="0" xfId="0" applyAlignment="1" applyBorder="1" applyFont="1">
      <alignment horizontal="center"/>
    </xf>
    <xf borderId="5" fillId="0" fontId="1" numFmtId="164" xfId="0" applyBorder="1" applyFont="1" applyNumberFormat="1"/>
    <xf borderId="5" fillId="0" fontId="1" numFmtId="0" xfId="0" applyBorder="1" applyFont="1"/>
    <xf borderId="5" fillId="0" fontId="4" numFmtId="0" xfId="0" applyAlignment="1" applyBorder="1" applyFont="1">
      <alignment vertical="bottom"/>
    </xf>
    <xf borderId="0" fillId="0" fontId="1" numFmtId="0" xfId="0" applyAlignment="1" applyFont="1">
      <alignment horizontal="center"/>
    </xf>
    <xf borderId="0" fillId="0" fontId="1" numFmtId="164" xfId="0" applyFont="1" applyNumberFormat="1"/>
    <xf borderId="0" fillId="0" fontId="1" numFmtId="165" xfId="0" applyFont="1" applyNumberFormat="1"/>
    <xf borderId="0" fillId="0" fontId="4" numFmtId="164" xfId="0" applyAlignment="1" applyFont="1" applyNumberFormat="1">
      <alignment horizontal="right" vertical="bottom"/>
    </xf>
    <xf borderId="0" fillId="2" fontId="6" numFmtId="0" xfId="0" applyAlignment="1" applyFill="1" applyFont="1">
      <alignment horizontal="left" readingOrder="0"/>
    </xf>
    <xf borderId="0" fillId="0" fontId="2" numFmtId="0" xfId="0" applyAlignment="1" applyFont="1">
      <alignment readingOrder="0"/>
    </xf>
    <xf borderId="0" fillId="3" fontId="7" numFmtId="0" xfId="0" applyAlignment="1" applyFill="1" applyFont="1">
      <alignment horizontal="left" readingOrder="0"/>
    </xf>
    <xf borderId="0" fillId="3" fontId="7" numFmtId="166" xfId="0" applyAlignment="1" applyFont="1" applyNumberFormat="1">
      <alignment horizontal="left" readingOrder="0"/>
    </xf>
    <xf borderId="0" fillId="3" fontId="7" numFmtId="165" xfId="0" applyAlignment="1" applyFont="1" applyNumberFormat="1">
      <alignment horizontal="left" readingOrder="0"/>
    </xf>
    <xf borderId="0" fillId="0" fontId="5" numFmtId="0" xfId="0" applyAlignment="1" applyFont="1">
      <alignment readingOrder="0" shrinkToFit="0" wrapText="1"/>
    </xf>
    <xf borderId="0" fillId="0" fontId="8" numFmtId="0" xfId="0" applyAlignment="1" applyFont="1">
      <alignment horizontal="left" readingOrder="0"/>
    </xf>
    <xf borderId="0" fillId="0" fontId="8" numFmtId="166" xfId="0" applyAlignment="1" applyFont="1" applyNumberFormat="1">
      <alignment horizontal="left" readingOrder="0"/>
    </xf>
    <xf borderId="0" fillId="0" fontId="8" numFmtId="165" xfId="0" applyAlignment="1" applyFont="1" applyNumberFormat="1">
      <alignment horizontal="left" readingOrder="0"/>
    </xf>
    <xf borderId="0" fillId="0" fontId="7" numFmtId="0" xfId="0" applyAlignment="1" applyFont="1">
      <alignment horizontal="left" readingOrder="0"/>
    </xf>
    <xf borderId="0" fillId="0" fontId="7" numFmtId="166" xfId="0" applyAlignment="1" applyFont="1" applyNumberFormat="1">
      <alignment horizontal="left" readingOrder="0"/>
    </xf>
    <xf borderId="0" fillId="0" fontId="7" numFmtId="165" xfId="0" applyAlignment="1" applyFont="1" applyNumberFormat="1">
      <alignment horizontal="left" readingOrder="0"/>
    </xf>
    <xf borderId="5" fillId="0" fontId="7" numFmtId="165" xfId="0" applyAlignment="1" applyBorder="1" applyFont="1" applyNumberFormat="1">
      <alignment horizontal="left" readingOrder="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shrinkToFit="0" vertical="bottom" wrapText="0"/>
    </xf>
    <xf borderId="0" fillId="0" fontId="9" numFmtId="167" xfId="0" applyAlignment="1" applyFont="1" applyNumberFormat="1">
      <alignment horizontal="right" readingOrder="0" shrinkToFit="0" vertical="bottom" wrapText="0"/>
    </xf>
    <xf borderId="0" fillId="0" fontId="1" numFmtId="168" xfId="0" applyAlignment="1" applyFont="1" applyNumberFormat="1">
      <alignment readingOrder="0"/>
    </xf>
    <xf borderId="0" fillId="0" fontId="1" numFmtId="3" xfId="0" applyAlignment="1" applyFont="1" applyNumberFormat="1">
      <alignment horizontal="center" readingOrder="0"/>
    </xf>
    <xf borderId="0" fillId="0" fontId="11" numFmtId="0" xfId="0" applyAlignment="1" applyFont="1">
      <alignment horizontal="right" readingOrder="0"/>
    </xf>
    <xf borderId="0" fillId="0" fontId="12" numFmtId="0" xfId="0" applyAlignment="1" applyFont="1">
      <alignment horizontal="left" readingOrder="0"/>
    </xf>
    <xf borderId="0" fillId="0" fontId="10" numFmtId="168" xfId="0" applyAlignment="1" applyFont="1" applyNumberFormat="1">
      <alignment horizontal="right" readingOrder="0" shrinkToFit="0" vertical="bottom" wrapText="0"/>
    </xf>
    <xf borderId="6" fillId="0" fontId="5" numFmtId="0" xfId="0" applyAlignment="1" applyBorder="1" applyFont="1">
      <alignment readingOrder="0" vertical="bottom"/>
    </xf>
    <xf borderId="1" fillId="0" fontId="5" numFmtId="0" xfId="0" applyAlignment="1" applyBorder="1" applyFont="1">
      <alignment shrinkToFit="0" vertical="bottom" wrapText="1"/>
    </xf>
    <xf borderId="0" fillId="0" fontId="13" numFmtId="0" xfId="0" applyAlignment="1" applyFont="1">
      <alignment horizontal="left" readingOrder="0"/>
    </xf>
    <xf borderId="0" fillId="0" fontId="14" numFmtId="0" xfId="0" applyAlignment="1" applyFont="1">
      <alignment horizontal="right" readingOrder="0"/>
    </xf>
    <xf borderId="0" fillId="0" fontId="10" numFmtId="0" xfId="0" applyAlignment="1" applyFont="1">
      <alignment horizontal="right" readingOrder="0" shrinkToFit="0" vertical="bottom" wrapText="0"/>
    </xf>
    <xf borderId="0" fillId="0" fontId="1" numFmtId="169" xfId="0" applyAlignment="1" applyFont="1" applyNumberFormat="1">
      <alignment readingOrder="0"/>
    </xf>
    <xf borderId="1" fillId="0" fontId="5" numFmtId="0" xfId="0" applyAlignment="1" applyBorder="1" applyFont="1">
      <alignment readingOrder="0" shrinkToFit="0" wrapText="1"/>
    </xf>
    <xf borderId="0" fillId="0" fontId="9" numFmtId="170" xfId="0" applyAlignment="1" applyFont="1" applyNumberFormat="1">
      <alignment horizontal="right" readingOrder="0" shrinkToFit="0" vertical="bottom" wrapText="0"/>
    </xf>
    <xf borderId="0" fillId="0" fontId="1" numFmtId="165" xfId="0" applyAlignment="1" applyFont="1" applyNumberFormat="1">
      <alignment readingOrder="0"/>
    </xf>
    <xf borderId="7" fillId="0" fontId="2" numFmtId="0" xfId="0" applyAlignment="1" applyBorder="1" applyFont="1">
      <alignment horizontal="center" readingOrder="0"/>
    </xf>
    <xf borderId="0" fillId="0" fontId="1" numFmtId="10" xfId="0" applyAlignment="1" applyFont="1" applyNumberFormat="1">
      <alignment horizontal="center"/>
    </xf>
    <xf borderId="0" fillId="0" fontId="1" numFmtId="164" xfId="0" applyAlignment="1" applyFont="1" applyNumberFormat="1">
      <alignment horizontal="center" readingOrder="0"/>
    </xf>
    <xf borderId="0" fillId="4" fontId="15" numFmtId="0" xfId="0" applyAlignment="1" applyFill="1" applyFont="1">
      <alignment horizontal="left" readingOrder="0"/>
    </xf>
    <xf borderId="0" fillId="0" fontId="16" numFmtId="0" xfId="0" applyAlignment="1" applyFont="1">
      <alignment readingOrder="0" shrinkToFit="0" wrapText="0"/>
    </xf>
    <xf borderId="0" fillId="0" fontId="16" numFmtId="166" xfId="0" applyAlignment="1" applyFont="1" applyNumberFormat="1">
      <alignment readingOrder="0"/>
    </xf>
    <xf borderId="0" fillId="0" fontId="16" numFmtId="0" xfId="0" applyAlignment="1" applyFont="1">
      <alignment readingOrder="0"/>
    </xf>
    <xf borderId="0" fillId="0" fontId="17" numFmtId="0" xfId="0" applyAlignment="1" applyFont="1">
      <alignment horizontal="left" readingOrder="0"/>
    </xf>
    <xf borderId="0" fillId="0" fontId="16" numFmtId="165" xfId="0" applyAlignment="1" applyFont="1" applyNumberFormat="1">
      <alignment readingOrder="0"/>
    </xf>
    <xf borderId="0" fillId="0" fontId="16" numFmtId="0" xfId="0" applyFont="1"/>
    <xf borderId="0" fillId="0" fontId="3" numFmtId="0" xfId="0" applyAlignment="1" applyFont="1">
      <alignment vertical="bottom"/>
    </xf>
    <xf borderId="0" fillId="0" fontId="3" numFmtId="0" xfId="0" applyAlignment="1" applyFont="1">
      <alignment shrinkToFit="0" vertical="bottom" wrapText="0"/>
    </xf>
    <xf borderId="0" fillId="0" fontId="4" numFmtId="169" xfId="0" applyAlignment="1" applyFont="1" applyNumberFormat="1">
      <alignment horizontal="right" vertical="bottom"/>
    </xf>
    <xf borderId="0" fillId="0" fontId="4" numFmtId="0" xfId="0" applyAlignment="1" applyFont="1">
      <alignment shrinkToFit="0" vertical="bottom" wrapText="0"/>
    </xf>
    <xf borderId="0" fillId="0" fontId="18" numFmtId="0" xfId="0" applyAlignment="1" applyFont="1">
      <alignment vertical="bottom"/>
    </xf>
    <xf borderId="0" fillId="0" fontId="4" numFmtId="171" xfId="0" applyAlignment="1" applyFont="1" applyNumberFormat="1">
      <alignment horizontal="right" readingOrder="0" vertical="bottom"/>
    </xf>
    <xf borderId="0" fillId="0" fontId="19" numFmtId="0" xfId="0" applyAlignment="1" applyFont="1">
      <alignment vertical="bottom"/>
    </xf>
    <xf borderId="0" fillId="0" fontId="20" numFmtId="0" xfId="0" applyAlignment="1" applyFont="1">
      <alignment readingOrder="0" shrinkToFit="0" wrapText="0"/>
    </xf>
    <xf borderId="8" fillId="4" fontId="16" numFmtId="0" xfId="0" applyAlignment="1" applyBorder="1" applyFont="1">
      <alignment readingOrder="0" shrinkToFit="0" wrapText="0"/>
    </xf>
    <xf borderId="0" fillId="0" fontId="21"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0"/>
    <col customWidth="1" min="9" max="9" width="11.63"/>
  </cols>
  <sheetData>
    <row r="1">
      <c r="A1" s="1"/>
      <c r="B1" s="2"/>
      <c r="C1" s="2"/>
      <c r="D1" s="2"/>
      <c r="E1" s="2" t="s">
        <v>0</v>
      </c>
      <c r="F1" s="2"/>
      <c r="G1" s="2"/>
      <c r="H1" s="2"/>
      <c r="I1" s="2"/>
      <c r="J1" s="3"/>
      <c r="K1" s="4"/>
      <c r="L1" s="4"/>
      <c r="M1" s="4"/>
      <c r="N1" s="5"/>
    </row>
    <row r="2">
      <c r="A2" s="1"/>
      <c r="B2" s="6" t="s">
        <v>1</v>
      </c>
      <c r="C2" s="7" t="s">
        <v>2</v>
      </c>
      <c r="D2" s="7" t="s">
        <v>3</v>
      </c>
      <c r="E2" s="7" t="s">
        <v>4</v>
      </c>
      <c r="F2" s="7" t="s">
        <v>5</v>
      </c>
      <c r="G2" s="7" t="s">
        <v>6</v>
      </c>
      <c r="H2" s="7" t="s">
        <v>7</v>
      </c>
      <c r="I2" s="8" t="s">
        <v>8</v>
      </c>
      <c r="J2" s="9" t="s">
        <v>9</v>
      </c>
      <c r="K2" s="10" t="s">
        <v>10</v>
      </c>
      <c r="L2" s="11" t="s">
        <v>11</v>
      </c>
      <c r="M2" s="11" t="s">
        <v>12</v>
      </c>
      <c r="N2" s="12" t="s">
        <v>13</v>
      </c>
    </row>
    <row r="3">
      <c r="A3" s="13" t="s">
        <v>14</v>
      </c>
      <c r="B3" s="14">
        <v>9.0</v>
      </c>
      <c r="C3" s="14">
        <v>2.0</v>
      </c>
      <c r="D3" s="14">
        <v>2.0</v>
      </c>
      <c r="E3" s="14">
        <v>2.0</v>
      </c>
      <c r="F3" s="14">
        <v>0.0</v>
      </c>
      <c r="G3" s="15">
        <v>0.0</v>
      </c>
      <c r="H3" s="15">
        <v>1100.0</v>
      </c>
      <c r="I3" s="16" t="str">
        <f t="shared" ref="I3:I13" si="1">H3/G3</f>
        <v>#DIV/0!</v>
      </c>
      <c r="J3" s="17">
        <f t="shared" ref="J3:J13" si="2">C3/B3</f>
        <v>0.2222222222</v>
      </c>
      <c r="K3" s="17">
        <f t="shared" ref="K3:K13" si="3">D3/B3</f>
        <v>0.2222222222</v>
      </c>
      <c r="L3" s="17">
        <f t="shared" ref="L3:L13" si="4">E3/D3</f>
        <v>1</v>
      </c>
      <c r="M3" s="17">
        <f t="shared" ref="M3:M13" si="5">F3/D3</f>
        <v>0</v>
      </c>
      <c r="N3" s="18">
        <f t="shared" ref="N3:N13" si="6">G3/D3</f>
        <v>0</v>
      </c>
    </row>
    <row r="4">
      <c r="A4" s="13" t="s">
        <v>15</v>
      </c>
      <c r="B4" s="14">
        <v>82.0</v>
      </c>
      <c r="C4" s="14">
        <v>38.0</v>
      </c>
      <c r="D4" s="14">
        <v>19.0</v>
      </c>
      <c r="E4" s="14">
        <v>15.0</v>
      </c>
      <c r="F4" s="14">
        <v>1.0</v>
      </c>
      <c r="G4" s="15">
        <v>22000.0</v>
      </c>
      <c r="H4" s="15">
        <v>9020.0</v>
      </c>
      <c r="I4" s="16">
        <f t="shared" si="1"/>
        <v>0.41</v>
      </c>
      <c r="J4" s="17">
        <f t="shared" si="2"/>
        <v>0.4634146341</v>
      </c>
      <c r="K4" s="17">
        <f t="shared" si="3"/>
        <v>0.2317073171</v>
      </c>
      <c r="L4" s="17">
        <f t="shared" si="4"/>
        <v>0.7894736842</v>
      </c>
      <c r="M4" s="17">
        <f t="shared" si="5"/>
        <v>0.05263157895</v>
      </c>
      <c r="N4" s="18">
        <f t="shared" si="6"/>
        <v>1157.894737</v>
      </c>
    </row>
    <row r="5">
      <c r="A5" s="13" t="s">
        <v>16</v>
      </c>
      <c r="B5" s="14"/>
      <c r="C5" s="14"/>
      <c r="D5" s="14"/>
      <c r="E5" s="14"/>
      <c r="F5" s="14"/>
      <c r="G5" s="15"/>
      <c r="H5" s="15"/>
      <c r="I5" s="16" t="str">
        <f t="shared" si="1"/>
        <v>#DIV/0!</v>
      </c>
      <c r="J5" s="17" t="str">
        <f t="shared" si="2"/>
        <v>#DIV/0!</v>
      </c>
      <c r="K5" s="17" t="str">
        <f t="shared" si="3"/>
        <v>#DIV/0!</v>
      </c>
      <c r="L5" s="17" t="str">
        <f t="shared" si="4"/>
        <v>#DIV/0!</v>
      </c>
      <c r="M5" s="17" t="str">
        <f t="shared" si="5"/>
        <v>#DIV/0!</v>
      </c>
      <c r="N5" s="5" t="str">
        <f t="shared" si="6"/>
        <v>#DIV/0!</v>
      </c>
    </row>
    <row r="6">
      <c r="A6" s="13" t="s">
        <v>17</v>
      </c>
      <c r="B6" s="14"/>
      <c r="C6" s="14"/>
      <c r="D6" s="14"/>
      <c r="E6" s="14"/>
      <c r="F6" s="14"/>
      <c r="G6" s="15"/>
      <c r="H6" s="15"/>
      <c r="I6" s="16" t="str">
        <f t="shared" si="1"/>
        <v>#DIV/0!</v>
      </c>
      <c r="J6" s="17" t="str">
        <f t="shared" si="2"/>
        <v>#DIV/0!</v>
      </c>
      <c r="K6" s="17" t="str">
        <f t="shared" si="3"/>
        <v>#DIV/0!</v>
      </c>
      <c r="L6" s="17" t="str">
        <f t="shared" si="4"/>
        <v>#DIV/0!</v>
      </c>
      <c r="M6" s="17" t="str">
        <f t="shared" si="5"/>
        <v>#DIV/0!</v>
      </c>
      <c r="N6" s="5" t="str">
        <f t="shared" si="6"/>
        <v>#DIV/0!</v>
      </c>
    </row>
    <row r="7">
      <c r="A7" s="13" t="s">
        <v>18</v>
      </c>
      <c r="B7" s="14"/>
      <c r="C7" s="14"/>
      <c r="D7" s="14"/>
      <c r="E7" s="14"/>
      <c r="F7" s="14"/>
      <c r="G7" s="15"/>
      <c r="H7" s="15"/>
      <c r="I7" s="16" t="str">
        <f t="shared" si="1"/>
        <v>#DIV/0!</v>
      </c>
      <c r="J7" s="17" t="str">
        <f t="shared" si="2"/>
        <v>#DIV/0!</v>
      </c>
      <c r="K7" s="17" t="str">
        <f t="shared" si="3"/>
        <v>#DIV/0!</v>
      </c>
      <c r="L7" s="17" t="str">
        <f t="shared" si="4"/>
        <v>#DIV/0!</v>
      </c>
      <c r="M7" s="17" t="str">
        <f t="shared" si="5"/>
        <v>#DIV/0!</v>
      </c>
      <c r="N7" s="5" t="str">
        <f t="shared" si="6"/>
        <v>#DIV/0!</v>
      </c>
    </row>
    <row r="8">
      <c r="A8" s="13" t="s">
        <v>19</v>
      </c>
      <c r="B8" s="14"/>
      <c r="C8" s="14"/>
      <c r="D8" s="14"/>
      <c r="E8" s="14"/>
      <c r="F8" s="14"/>
      <c r="G8" s="15"/>
      <c r="H8" s="15"/>
      <c r="I8" s="16" t="str">
        <f t="shared" si="1"/>
        <v>#DIV/0!</v>
      </c>
      <c r="J8" s="17" t="str">
        <f t="shared" si="2"/>
        <v>#DIV/0!</v>
      </c>
      <c r="K8" s="17" t="str">
        <f t="shared" si="3"/>
        <v>#DIV/0!</v>
      </c>
      <c r="L8" s="17" t="str">
        <f t="shared" si="4"/>
        <v>#DIV/0!</v>
      </c>
      <c r="M8" s="17" t="str">
        <f t="shared" si="5"/>
        <v>#DIV/0!</v>
      </c>
      <c r="N8" s="5" t="str">
        <f t="shared" si="6"/>
        <v>#DIV/0!</v>
      </c>
    </row>
    <row r="9">
      <c r="A9" s="13" t="s">
        <v>20</v>
      </c>
      <c r="B9" s="14"/>
      <c r="C9" s="14"/>
      <c r="D9" s="14"/>
      <c r="E9" s="14"/>
      <c r="F9" s="14"/>
      <c r="G9" s="15"/>
      <c r="H9" s="15"/>
      <c r="I9" s="16" t="str">
        <f t="shared" si="1"/>
        <v>#DIV/0!</v>
      </c>
      <c r="J9" s="17" t="str">
        <f t="shared" si="2"/>
        <v>#DIV/0!</v>
      </c>
      <c r="K9" s="17" t="str">
        <f t="shared" si="3"/>
        <v>#DIV/0!</v>
      </c>
      <c r="L9" s="17" t="str">
        <f t="shared" si="4"/>
        <v>#DIV/0!</v>
      </c>
      <c r="M9" s="17" t="str">
        <f t="shared" si="5"/>
        <v>#DIV/0!</v>
      </c>
      <c r="N9" s="5" t="str">
        <f t="shared" si="6"/>
        <v>#DIV/0!</v>
      </c>
    </row>
    <row r="10">
      <c r="A10" s="13" t="s">
        <v>21</v>
      </c>
      <c r="B10" s="14"/>
      <c r="C10" s="14"/>
      <c r="D10" s="14"/>
      <c r="E10" s="14"/>
      <c r="F10" s="14"/>
      <c r="G10" s="15"/>
      <c r="H10" s="15"/>
      <c r="I10" s="16" t="str">
        <f t="shared" si="1"/>
        <v>#DIV/0!</v>
      </c>
      <c r="J10" s="17" t="str">
        <f t="shared" si="2"/>
        <v>#DIV/0!</v>
      </c>
      <c r="K10" s="17" t="str">
        <f t="shared" si="3"/>
        <v>#DIV/0!</v>
      </c>
      <c r="L10" s="17" t="str">
        <f t="shared" si="4"/>
        <v>#DIV/0!</v>
      </c>
      <c r="M10" s="17" t="str">
        <f t="shared" si="5"/>
        <v>#DIV/0!</v>
      </c>
      <c r="N10" s="5" t="str">
        <f t="shared" si="6"/>
        <v>#DIV/0!</v>
      </c>
    </row>
    <row r="11">
      <c r="A11" s="13" t="s">
        <v>22</v>
      </c>
      <c r="B11" s="19"/>
      <c r="C11" s="19"/>
      <c r="D11" s="19"/>
      <c r="E11" s="19"/>
      <c r="F11" s="19"/>
      <c r="G11" s="20"/>
      <c r="H11" s="15"/>
      <c r="I11" s="16" t="str">
        <f t="shared" si="1"/>
        <v>#DIV/0!</v>
      </c>
      <c r="J11" s="17" t="str">
        <f t="shared" si="2"/>
        <v>#DIV/0!</v>
      </c>
      <c r="K11" s="17" t="str">
        <f t="shared" si="3"/>
        <v>#DIV/0!</v>
      </c>
      <c r="L11" s="17" t="str">
        <f t="shared" si="4"/>
        <v>#DIV/0!</v>
      </c>
      <c r="M11" s="17" t="str">
        <f t="shared" si="5"/>
        <v>#DIV/0!</v>
      </c>
      <c r="N11" s="5" t="str">
        <f t="shared" si="6"/>
        <v>#DIV/0!</v>
      </c>
    </row>
    <row r="12">
      <c r="A12" s="13" t="s">
        <v>23</v>
      </c>
      <c r="B12" s="19"/>
      <c r="C12" s="19"/>
      <c r="D12" s="19"/>
      <c r="E12" s="19"/>
      <c r="F12" s="19"/>
      <c r="G12" s="20"/>
      <c r="H12" s="15"/>
      <c r="I12" s="16" t="str">
        <f t="shared" si="1"/>
        <v>#DIV/0!</v>
      </c>
      <c r="J12" s="17" t="str">
        <f t="shared" si="2"/>
        <v>#DIV/0!</v>
      </c>
      <c r="K12" s="17" t="str">
        <f t="shared" si="3"/>
        <v>#DIV/0!</v>
      </c>
      <c r="L12" s="17" t="str">
        <f t="shared" si="4"/>
        <v>#DIV/0!</v>
      </c>
      <c r="M12" s="17" t="str">
        <f t="shared" si="5"/>
        <v>#DIV/0!</v>
      </c>
      <c r="N12" s="5" t="str">
        <f t="shared" si="6"/>
        <v>#DIV/0!</v>
      </c>
    </row>
    <row r="13">
      <c r="A13" s="13" t="s">
        <v>24</v>
      </c>
      <c r="B13" s="19"/>
      <c r="C13" s="19"/>
      <c r="D13" s="19"/>
      <c r="E13" s="19"/>
      <c r="F13" s="19"/>
      <c r="G13" s="20"/>
      <c r="H13" s="15"/>
      <c r="I13" s="16" t="str">
        <f t="shared" si="1"/>
        <v>#DIV/0!</v>
      </c>
      <c r="J13" s="17" t="str">
        <f t="shared" si="2"/>
        <v>#DIV/0!</v>
      </c>
      <c r="K13" s="17" t="str">
        <f t="shared" si="3"/>
        <v>#DIV/0!</v>
      </c>
      <c r="L13" s="17" t="str">
        <f t="shared" si="4"/>
        <v>#DIV/0!</v>
      </c>
      <c r="M13" s="17" t="str">
        <f t="shared" si="5"/>
        <v>#DIV/0!</v>
      </c>
      <c r="N13" s="5" t="str">
        <f t="shared" si="6"/>
        <v>#DIV/0!</v>
      </c>
    </row>
    <row r="14">
      <c r="A14" s="13" t="s">
        <v>25</v>
      </c>
      <c r="H14" s="15"/>
      <c r="I14" s="16" t="str">
        <f>H14/'Recap 2024'!G14</f>
        <v>#REF!</v>
      </c>
      <c r="J14" s="17" t="str">
        <f>'Recap 2024'!C14/'Recap 2024'!B14</f>
        <v>#REF!</v>
      </c>
      <c r="K14" s="17" t="str">
        <f>'Recap 2024'!D14/'Recap 2024'!B14</f>
        <v>#REF!</v>
      </c>
      <c r="L14" s="17" t="str">
        <f>'Recap 2024'!E14/'Recap 2024'!D14</f>
        <v>#REF!</v>
      </c>
      <c r="M14" s="17" t="str">
        <f>'Recap 2024'!F14/'Recap 2024'!D14</f>
        <v>#REF!</v>
      </c>
      <c r="N14" s="5" t="str">
        <f>'Recap 2024'!G14/'Recap 2024'!D14</f>
        <v>#REF!</v>
      </c>
    </row>
    <row r="15">
      <c r="B15" s="21"/>
      <c r="C15" s="21"/>
      <c r="D15" s="21"/>
      <c r="E15" s="21"/>
      <c r="F15" s="21"/>
      <c r="G15" s="22"/>
      <c r="H15" s="23"/>
      <c r="I15" s="23"/>
      <c r="J15" s="24"/>
      <c r="K15" s="24"/>
      <c r="L15" s="24"/>
      <c r="M15" s="24"/>
      <c r="N15" s="24"/>
    </row>
    <row r="16">
      <c r="A16" s="13" t="s">
        <v>26</v>
      </c>
      <c r="B16" s="25">
        <f t="shared" ref="B16:H16" si="7">SUM(B3:B14)</f>
        <v>91</v>
      </c>
      <c r="C16" s="25">
        <f t="shared" si="7"/>
        <v>40</v>
      </c>
      <c r="D16" s="25">
        <f t="shared" si="7"/>
        <v>21</v>
      </c>
      <c r="E16" s="25">
        <f t="shared" si="7"/>
        <v>17</v>
      </c>
      <c r="F16" s="25">
        <f t="shared" si="7"/>
        <v>1</v>
      </c>
      <c r="G16" s="26">
        <f t="shared" si="7"/>
        <v>22000</v>
      </c>
      <c r="H16" s="26">
        <f t="shared" si="7"/>
        <v>10120</v>
      </c>
      <c r="I16" s="16">
        <f>H16/G16</f>
        <v>0.46</v>
      </c>
      <c r="J16" s="16">
        <f>C16/B16</f>
        <v>0.4395604396</v>
      </c>
      <c r="K16" s="17">
        <f>D16/B16</f>
        <v>0.2307692308</v>
      </c>
      <c r="L16" s="17">
        <f>E16/D16</f>
        <v>0.8095238095</v>
      </c>
      <c r="M16" s="17">
        <f>F16/D16</f>
        <v>0.04761904762</v>
      </c>
      <c r="N16" s="18">
        <f>G16/D16</f>
        <v>1047.619048</v>
      </c>
    </row>
    <row r="17">
      <c r="C17" s="16">
        <f t="shared" ref="C17:E17" si="8">C16/B16</f>
        <v>0.4395604396</v>
      </c>
      <c r="D17" s="16">
        <f t="shared" si="8"/>
        <v>0.525</v>
      </c>
      <c r="E17" s="16">
        <f t="shared" si="8"/>
        <v>0.8095238095</v>
      </c>
      <c r="F17" s="16">
        <f>F16/D16</f>
        <v>0.04761904762</v>
      </c>
    </row>
    <row r="18">
      <c r="A18" s="13" t="s">
        <v>27</v>
      </c>
      <c r="B18" s="27">
        <f t="shared" ref="B18:F18" si="9">$H$16/B16</f>
        <v>111.2087912</v>
      </c>
      <c r="C18" s="27">
        <f t="shared" si="9"/>
        <v>253</v>
      </c>
      <c r="D18" s="27">
        <f t="shared" si="9"/>
        <v>481.9047619</v>
      </c>
      <c r="E18" s="27">
        <f t="shared" si="9"/>
        <v>595.2941176</v>
      </c>
      <c r="F18" s="27">
        <f t="shared" si="9"/>
        <v>10120</v>
      </c>
    </row>
    <row r="20">
      <c r="G20" s="26">
        <f>G16/F16</f>
        <v>22000</v>
      </c>
    </row>
    <row r="21">
      <c r="A21" s="5" t="s">
        <v>9</v>
      </c>
      <c r="B21" s="17">
        <f>C16/B16</f>
        <v>0.4395604396</v>
      </c>
    </row>
    <row r="22">
      <c r="A22" s="5" t="s">
        <v>28</v>
      </c>
      <c r="B22" s="17">
        <f>D16/C16</f>
        <v>0.525</v>
      </c>
    </row>
    <row r="23">
      <c r="A23" s="5" t="s">
        <v>29</v>
      </c>
      <c r="B23" s="17">
        <f>E16/D16</f>
        <v>0.8095238095</v>
      </c>
    </row>
    <row r="24">
      <c r="A24" s="5" t="s">
        <v>30</v>
      </c>
      <c r="B24" s="17">
        <f>F16/E16</f>
        <v>0.05882352941</v>
      </c>
    </row>
    <row r="25">
      <c r="A25" s="5" t="s">
        <v>31</v>
      </c>
      <c r="B25" s="28">
        <f>G16/D16</f>
        <v>1047.619048</v>
      </c>
    </row>
    <row r="26">
      <c r="A26" s="5" t="s">
        <v>32</v>
      </c>
      <c r="B26" s="17">
        <f>H16/G16</f>
        <v>0.46</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6.25"/>
    <col customWidth="1" min="3" max="3" width="24.38"/>
    <col customWidth="1" min="5" max="5" width="16.75"/>
  </cols>
  <sheetData>
    <row r="1">
      <c r="A1" s="29" t="s">
        <v>33</v>
      </c>
      <c r="B1" s="29" t="s">
        <v>34</v>
      </c>
      <c r="C1" s="29" t="s">
        <v>35</v>
      </c>
      <c r="D1" s="29" t="s">
        <v>36</v>
      </c>
      <c r="E1" s="29" t="s">
        <v>37</v>
      </c>
      <c r="F1" s="30" t="s">
        <v>38</v>
      </c>
      <c r="G1" s="30" t="s">
        <v>39</v>
      </c>
    </row>
    <row r="2">
      <c r="A2" s="31"/>
      <c r="B2" s="31" t="s">
        <v>40</v>
      </c>
      <c r="C2" s="31" t="s">
        <v>41</v>
      </c>
      <c r="D2" s="32">
        <v>46065.0</v>
      </c>
      <c r="E2" s="33">
        <v>22000.0</v>
      </c>
      <c r="F2" s="13" t="s">
        <v>42</v>
      </c>
      <c r="G2" s="34"/>
    </row>
    <row r="3">
      <c r="A3" s="35"/>
      <c r="B3" s="35"/>
      <c r="C3" s="35"/>
      <c r="D3" s="36"/>
      <c r="E3" s="37"/>
    </row>
    <row r="4">
      <c r="A4" s="38"/>
      <c r="B4" s="38"/>
      <c r="C4" s="38"/>
      <c r="D4" s="39"/>
      <c r="E4" s="40"/>
      <c r="F4" s="38"/>
    </row>
    <row r="5">
      <c r="A5" s="38"/>
      <c r="B5" s="38"/>
      <c r="C5" s="38"/>
      <c r="D5" s="39"/>
      <c r="E5" s="40"/>
      <c r="F5" s="38"/>
    </row>
    <row r="6">
      <c r="A6" s="38"/>
      <c r="B6" s="38"/>
      <c r="C6" s="38"/>
      <c r="D6" s="39"/>
      <c r="E6" s="40"/>
      <c r="F6" s="38"/>
    </row>
    <row r="7">
      <c r="A7" s="38"/>
      <c r="B7" s="38"/>
      <c r="C7" s="38"/>
      <c r="D7" s="39"/>
      <c r="E7" s="40"/>
      <c r="F7" s="38"/>
    </row>
    <row r="8">
      <c r="A8" s="38"/>
      <c r="B8" s="38"/>
      <c r="C8" s="38"/>
      <c r="D8" s="39"/>
      <c r="E8" s="41"/>
      <c r="F8" s="38"/>
    </row>
    <row r="9">
      <c r="A9" s="13" t="s">
        <v>26</v>
      </c>
      <c r="E9" s="26">
        <f>SUM(E1:E8)</f>
        <v>22000</v>
      </c>
    </row>
    <row r="11">
      <c r="A11" s="13" t="s">
        <v>43</v>
      </c>
      <c r="E11" s="26">
        <f>-E4</f>
        <v>0</v>
      </c>
    </row>
    <row r="12">
      <c r="E12" s="23"/>
    </row>
    <row r="13">
      <c r="A13" s="13" t="s">
        <v>44</v>
      </c>
      <c r="E13" s="26">
        <f>E9+E11</f>
        <v>22000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0"/>
    <col customWidth="1" min="3" max="3" width="17.75"/>
  </cols>
  <sheetData>
    <row r="1">
      <c r="A1" s="42" t="s">
        <v>45</v>
      </c>
      <c r="B1" s="42" t="s">
        <v>46</v>
      </c>
      <c r="C1" s="43" t="s">
        <v>47</v>
      </c>
    </row>
    <row r="2">
      <c r="A2" s="42" t="s">
        <v>48</v>
      </c>
      <c r="B2" s="42" t="s">
        <v>49</v>
      </c>
      <c r="C2" s="42" t="s">
        <v>50</v>
      </c>
    </row>
    <row r="3">
      <c r="A3" s="42" t="s">
        <v>51</v>
      </c>
      <c r="B3" s="42" t="s">
        <v>52</v>
      </c>
      <c r="C3" s="42" t="s">
        <v>50</v>
      </c>
    </row>
    <row r="4">
      <c r="A4" s="42" t="s">
        <v>53</v>
      </c>
      <c r="B4" s="42" t="s">
        <v>54</v>
      </c>
      <c r="C4" s="42" t="s">
        <v>50</v>
      </c>
    </row>
    <row r="5">
      <c r="A5" s="42" t="s">
        <v>55</v>
      </c>
      <c r="B5" s="42" t="s">
        <v>56</v>
      </c>
      <c r="C5" s="42" t="s">
        <v>57</v>
      </c>
    </row>
    <row r="6">
      <c r="A6" s="42" t="s">
        <v>58</v>
      </c>
      <c r="B6" s="42" t="s">
        <v>59</v>
      </c>
      <c r="C6" s="42" t="s">
        <v>57</v>
      </c>
    </row>
    <row r="7">
      <c r="A7" s="42" t="s">
        <v>60</v>
      </c>
      <c r="B7" s="42" t="s">
        <v>61</v>
      </c>
      <c r="C7" s="42" t="s">
        <v>50</v>
      </c>
    </row>
    <row r="8">
      <c r="A8" s="42" t="s">
        <v>62</v>
      </c>
      <c r="B8" s="42" t="s">
        <v>63</v>
      </c>
      <c r="C8" s="42" t="s">
        <v>57</v>
      </c>
    </row>
    <row r="9">
      <c r="A9" s="42" t="s">
        <v>64</v>
      </c>
      <c r="B9" s="42" t="s">
        <v>65</v>
      </c>
      <c r="C9" s="42" t="s">
        <v>50</v>
      </c>
    </row>
    <row r="10">
      <c r="A10" s="42" t="s">
        <v>66</v>
      </c>
      <c r="B10" s="42" t="s">
        <v>67</v>
      </c>
      <c r="C10" s="42" t="s">
        <v>57</v>
      </c>
    </row>
    <row r="11">
      <c r="A11" s="42" t="s">
        <v>68</v>
      </c>
      <c r="B11" s="42" t="s">
        <v>69</v>
      </c>
      <c r="C11" s="42" t="s">
        <v>50</v>
      </c>
    </row>
    <row r="12">
      <c r="A12" s="42" t="s">
        <v>70</v>
      </c>
      <c r="B12" s="42" t="s">
        <v>71</v>
      </c>
      <c r="C12" s="42" t="s">
        <v>57</v>
      </c>
    </row>
    <row r="13">
      <c r="A13" s="42" t="s">
        <v>72</v>
      </c>
      <c r="B13" s="42" t="s">
        <v>73</v>
      </c>
      <c r="C13" s="42" t="s">
        <v>57</v>
      </c>
    </row>
    <row r="14">
      <c r="A14" s="42" t="s">
        <v>74</v>
      </c>
      <c r="B14" s="42" t="s">
        <v>75</v>
      </c>
      <c r="C14" s="42" t="s">
        <v>50</v>
      </c>
    </row>
    <row r="15">
      <c r="A15" s="42" t="s">
        <v>76</v>
      </c>
      <c r="B15" s="42" t="s">
        <v>77</v>
      </c>
      <c r="C15" s="42" t="s">
        <v>57</v>
      </c>
    </row>
    <row r="16">
      <c r="A16" s="42" t="s">
        <v>78</v>
      </c>
      <c r="B16" s="42" t="s">
        <v>79</v>
      </c>
      <c r="C16" s="42" t="s">
        <v>50</v>
      </c>
    </row>
    <row r="17">
      <c r="A17" s="42" t="s">
        <v>80</v>
      </c>
      <c r="B17" s="42" t="s">
        <v>81</v>
      </c>
      <c r="C17" s="42" t="s">
        <v>50</v>
      </c>
    </row>
    <row r="18">
      <c r="A18" s="42" t="s">
        <v>82</v>
      </c>
      <c r="B18" s="42" t="s">
        <v>83</v>
      </c>
      <c r="C18" s="42" t="s">
        <v>57</v>
      </c>
    </row>
    <row r="19">
      <c r="A19" s="42" t="s">
        <v>84</v>
      </c>
      <c r="B19" s="42" t="s">
        <v>85</v>
      </c>
      <c r="C19" s="42" t="s">
        <v>57</v>
      </c>
    </row>
    <row r="20">
      <c r="A20" s="42" t="s">
        <v>86</v>
      </c>
      <c r="B20" s="42" t="s">
        <v>87</v>
      </c>
      <c r="C20" s="42" t="s">
        <v>50</v>
      </c>
    </row>
    <row r="21">
      <c r="A21" s="42" t="s">
        <v>88</v>
      </c>
      <c r="B21" s="42" t="s">
        <v>89</v>
      </c>
      <c r="C21" s="42" t="s">
        <v>50</v>
      </c>
    </row>
    <row r="22">
      <c r="A22" s="42" t="s">
        <v>90</v>
      </c>
      <c r="B22" s="42" t="s">
        <v>91</v>
      </c>
      <c r="C22" s="42" t="s">
        <v>50</v>
      </c>
    </row>
    <row r="23">
      <c r="A23" s="42" t="s">
        <v>92</v>
      </c>
      <c r="B23" s="42" t="s">
        <v>93</v>
      </c>
      <c r="C23" s="42" t="s">
        <v>94</v>
      </c>
    </row>
    <row r="24">
      <c r="A24" s="42" t="s">
        <v>95</v>
      </c>
      <c r="B24" s="42" t="s">
        <v>96</v>
      </c>
      <c r="C24" s="42" t="s">
        <v>50</v>
      </c>
    </row>
    <row r="25">
      <c r="A25" s="42" t="s">
        <v>97</v>
      </c>
      <c r="B25" s="42" t="s">
        <v>98</v>
      </c>
      <c r="C25" s="42" t="s">
        <v>50</v>
      </c>
    </row>
    <row r="26">
      <c r="A26" s="42" t="s">
        <v>99</v>
      </c>
      <c r="B26" s="42" t="s">
        <v>100</v>
      </c>
      <c r="C26" s="42" t="s">
        <v>101</v>
      </c>
    </row>
    <row r="27">
      <c r="A27" s="42" t="s">
        <v>102</v>
      </c>
      <c r="B27" s="42" t="s">
        <v>103</v>
      </c>
      <c r="C27" s="42" t="s">
        <v>94</v>
      </c>
    </row>
    <row r="28">
      <c r="A28" s="42" t="s">
        <v>104</v>
      </c>
      <c r="B28" s="42" t="s">
        <v>105</v>
      </c>
      <c r="C28" s="42" t="s">
        <v>94</v>
      </c>
    </row>
    <row r="29">
      <c r="A29" s="42" t="s">
        <v>106</v>
      </c>
      <c r="B29" s="42" t="s">
        <v>107</v>
      </c>
      <c r="C29" s="42" t="s">
        <v>101</v>
      </c>
    </row>
    <row r="30">
      <c r="A30" s="42" t="s">
        <v>108</v>
      </c>
      <c r="B30" s="42" t="s">
        <v>109</v>
      </c>
      <c r="C30" s="42" t="s">
        <v>50</v>
      </c>
    </row>
    <row r="31">
      <c r="A31" s="42" t="s">
        <v>110</v>
      </c>
      <c r="B31" s="42" t="s">
        <v>111</v>
      </c>
      <c r="C31" s="42" t="s">
        <v>94</v>
      </c>
    </row>
    <row r="32">
      <c r="A32" s="42" t="s">
        <v>112</v>
      </c>
      <c r="B32" s="42" t="s">
        <v>113</v>
      </c>
      <c r="C32" s="42" t="s">
        <v>50</v>
      </c>
    </row>
    <row r="33">
      <c r="A33" s="42" t="s">
        <v>114</v>
      </c>
      <c r="B33" s="42" t="s">
        <v>115</v>
      </c>
      <c r="C33" s="42" t="s">
        <v>94</v>
      </c>
    </row>
    <row r="34">
      <c r="A34" s="42" t="s">
        <v>116</v>
      </c>
      <c r="B34" s="42" t="s">
        <v>117</v>
      </c>
      <c r="C34" s="42" t="s">
        <v>94</v>
      </c>
    </row>
    <row r="35">
      <c r="A35" s="42" t="s">
        <v>118</v>
      </c>
      <c r="B35" s="42" t="s">
        <v>119</v>
      </c>
      <c r="C35" s="42" t="s">
        <v>50</v>
      </c>
    </row>
    <row r="36">
      <c r="A36" s="42" t="s">
        <v>120</v>
      </c>
      <c r="B36" s="42" t="s">
        <v>121</v>
      </c>
      <c r="C36" s="42" t="s">
        <v>50</v>
      </c>
    </row>
    <row r="37">
      <c r="A37" s="42" t="s">
        <v>122</v>
      </c>
      <c r="B37" s="42" t="s">
        <v>123</v>
      </c>
      <c r="C37" s="42" t="s">
        <v>50</v>
      </c>
    </row>
    <row r="38">
      <c r="A38" s="42" t="s">
        <v>124</v>
      </c>
      <c r="B38" s="42" t="s">
        <v>125</v>
      </c>
      <c r="C38" s="42" t="s">
        <v>101</v>
      </c>
    </row>
    <row r="39">
      <c r="A39" s="42" t="s">
        <v>126</v>
      </c>
      <c r="B39" s="42" t="s">
        <v>127</v>
      </c>
      <c r="C39" s="42" t="s">
        <v>50</v>
      </c>
    </row>
    <row r="40">
      <c r="A40" s="42" t="s">
        <v>128</v>
      </c>
      <c r="B40" s="42" t="s">
        <v>129</v>
      </c>
      <c r="C40" s="42" t="s">
        <v>101</v>
      </c>
    </row>
    <row r="41">
      <c r="A41" s="42" t="s">
        <v>130</v>
      </c>
      <c r="B41" s="42" t="s">
        <v>131</v>
      </c>
      <c r="C41" s="42" t="s">
        <v>50</v>
      </c>
    </row>
    <row r="42">
      <c r="A42" s="42" t="s">
        <v>132</v>
      </c>
      <c r="B42" s="42" t="s">
        <v>133</v>
      </c>
      <c r="C42" s="42" t="s">
        <v>94</v>
      </c>
    </row>
    <row r="43">
      <c r="A43" s="42" t="s">
        <v>134</v>
      </c>
      <c r="B43" s="42" t="s">
        <v>135</v>
      </c>
      <c r="C43" s="42" t="s">
        <v>57</v>
      </c>
    </row>
    <row r="44">
      <c r="A44" s="42" t="s">
        <v>136</v>
      </c>
      <c r="B44" s="42" t="s">
        <v>137</v>
      </c>
      <c r="C44" s="42" t="s">
        <v>94</v>
      </c>
    </row>
    <row r="45">
      <c r="A45" s="42" t="s">
        <v>138</v>
      </c>
      <c r="B45" s="42" t="s">
        <v>139</v>
      </c>
      <c r="C45" s="42" t="s">
        <v>50</v>
      </c>
    </row>
    <row r="46">
      <c r="A46" s="42" t="s">
        <v>140</v>
      </c>
      <c r="B46" s="42" t="s">
        <v>141</v>
      </c>
      <c r="C46" s="42" t="s">
        <v>94</v>
      </c>
    </row>
    <row r="47">
      <c r="A47" s="42" t="s">
        <v>142</v>
      </c>
      <c r="B47" s="42" t="s">
        <v>143</v>
      </c>
      <c r="C47" s="42" t="s">
        <v>50</v>
      </c>
    </row>
    <row r="48">
      <c r="A48" s="42" t="s">
        <v>144</v>
      </c>
      <c r="B48" s="42" t="s">
        <v>145</v>
      </c>
      <c r="C48" s="42" t="s">
        <v>50</v>
      </c>
    </row>
    <row r="49">
      <c r="A49" s="42" t="s">
        <v>146</v>
      </c>
      <c r="B49" s="42" t="s">
        <v>147</v>
      </c>
      <c r="C49" s="42" t="s">
        <v>50</v>
      </c>
    </row>
    <row r="50">
      <c r="A50" s="42" t="s">
        <v>148</v>
      </c>
      <c r="B50" s="42" t="s">
        <v>149</v>
      </c>
      <c r="C50" s="42" t="s">
        <v>101</v>
      </c>
    </row>
    <row r="51">
      <c r="A51" s="42" t="s">
        <v>150</v>
      </c>
      <c r="B51" s="42" t="s">
        <v>151</v>
      </c>
      <c r="C51" s="42" t="s">
        <v>50</v>
      </c>
    </row>
    <row r="52">
      <c r="A52" s="42" t="s">
        <v>152</v>
      </c>
      <c r="B52" s="42" t="s">
        <v>153</v>
      </c>
      <c r="C52" s="42" t="s">
        <v>57</v>
      </c>
    </row>
    <row r="53">
      <c r="A53" s="42" t="s">
        <v>154</v>
      </c>
      <c r="B53" s="42" t="s">
        <v>155</v>
      </c>
      <c r="C53" s="42" t="s">
        <v>50</v>
      </c>
    </row>
    <row r="54">
      <c r="A54" s="42" t="s">
        <v>156</v>
      </c>
      <c r="B54" s="42" t="s">
        <v>157</v>
      </c>
      <c r="C54" s="42" t="s">
        <v>50</v>
      </c>
    </row>
    <row r="55">
      <c r="A55" s="42" t="s">
        <v>158</v>
      </c>
      <c r="B55" s="42" t="s">
        <v>159</v>
      </c>
      <c r="C55" s="42" t="s">
        <v>94</v>
      </c>
    </row>
    <row r="56">
      <c r="A56" s="42" t="s">
        <v>160</v>
      </c>
      <c r="B56" s="42" t="s">
        <v>161</v>
      </c>
      <c r="C56" s="42" t="s">
        <v>101</v>
      </c>
    </row>
    <row r="57">
      <c r="A57" s="42" t="s">
        <v>162</v>
      </c>
      <c r="B57" s="42" t="s">
        <v>96</v>
      </c>
      <c r="C57" s="42" t="s">
        <v>50</v>
      </c>
    </row>
    <row r="58">
      <c r="A58" s="42" t="s">
        <v>163</v>
      </c>
      <c r="B58" s="42" t="s">
        <v>164</v>
      </c>
      <c r="C58" s="42" t="s">
        <v>50</v>
      </c>
    </row>
    <row r="59">
      <c r="A59" s="42" t="s">
        <v>165</v>
      </c>
      <c r="B59" s="42" t="s">
        <v>166</v>
      </c>
      <c r="C59" s="42" t="s">
        <v>94</v>
      </c>
    </row>
    <row r="60">
      <c r="A60" s="42" t="s">
        <v>167</v>
      </c>
      <c r="B60" s="42" t="s">
        <v>168</v>
      </c>
      <c r="C60" s="42" t="s">
        <v>50</v>
      </c>
    </row>
    <row r="61">
      <c r="A61" s="42" t="s">
        <v>169</v>
      </c>
      <c r="B61" s="42" t="s">
        <v>170</v>
      </c>
      <c r="C61" s="42" t="s">
        <v>57</v>
      </c>
    </row>
    <row r="62">
      <c r="A62" s="42" t="s">
        <v>171</v>
      </c>
      <c r="B62" s="42" t="s">
        <v>91</v>
      </c>
      <c r="C62" s="42" t="s">
        <v>57</v>
      </c>
    </row>
    <row r="63">
      <c r="A63" s="42" t="s">
        <v>172</v>
      </c>
      <c r="B63" s="42" t="s">
        <v>173</v>
      </c>
      <c r="C63" s="42" t="s">
        <v>174</v>
      </c>
    </row>
    <row r="64">
      <c r="A64" s="42" t="s">
        <v>175</v>
      </c>
      <c r="B64" s="42" t="s">
        <v>176</v>
      </c>
      <c r="C64" s="42" t="s">
        <v>57</v>
      </c>
    </row>
    <row r="65">
      <c r="A65" s="42" t="s">
        <v>177</v>
      </c>
      <c r="B65" s="42" t="s">
        <v>178</v>
      </c>
      <c r="C65" s="42" t="s">
        <v>101</v>
      </c>
    </row>
    <row r="66">
      <c r="A66" s="42" t="s">
        <v>179</v>
      </c>
      <c r="B66" s="42" t="s">
        <v>180</v>
      </c>
      <c r="C66" s="42" t="s">
        <v>174</v>
      </c>
    </row>
    <row r="67">
      <c r="A67" s="42" t="s">
        <v>41</v>
      </c>
      <c r="B67" s="42" t="s">
        <v>181</v>
      </c>
      <c r="C67" s="42" t="s">
        <v>182</v>
      </c>
    </row>
    <row r="68">
      <c r="A68" s="42" t="s">
        <v>183</v>
      </c>
      <c r="B68" s="42" t="s">
        <v>184</v>
      </c>
      <c r="C68" s="42" t="s">
        <v>50</v>
      </c>
    </row>
    <row r="69">
      <c r="A69" s="42" t="s">
        <v>185</v>
      </c>
      <c r="B69" s="42" t="s">
        <v>186</v>
      </c>
      <c r="C69" s="42" t="s">
        <v>50</v>
      </c>
    </row>
    <row r="70">
      <c r="A70" s="42" t="s">
        <v>187</v>
      </c>
      <c r="B70" s="42" t="s">
        <v>188</v>
      </c>
      <c r="C70" s="42" t="s">
        <v>94</v>
      </c>
    </row>
    <row r="71">
      <c r="A71" s="42" t="s">
        <v>189</v>
      </c>
      <c r="B71" s="42" t="s">
        <v>190</v>
      </c>
      <c r="C71" s="42" t="s">
        <v>50</v>
      </c>
    </row>
    <row r="72">
      <c r="A72" s="42" t="s">
        <v>191</v>
      </c>
      <c r="B72" s="42" t="s">
        <v>192</v>
      </c>
      <c r="C72" s="42" t="s">
        <v>50</v>
      </c>
    </row>
    <row r="73">
      <c r="A73" s="42" t="s">
        <v>193</v>
      </c>
      <c r="B73" s="42" t="s">
        <v>194</v>
      </c>
      <c r="C73" s="42" t="s">
        <v>50</v>
      </c>
    </row>
    <row r="74">
      <c r="A74" s="42" t="s">
        <v>195</v>
      </c>
      <c r="B74" s="42" t="s">
        <v>196</v>
      </c>
      <c r="C74" s="42" t="s">
        <v>101</v>
      </c>
    </row>
    <row r="75">
      <c r="A75" s="42" t="s">
        <v>197</v>
      </c>
      <c r="B75" s="42" t="s">
        <v>198</v>
      </c>
      <c r="C75" s="42" t="s">
        <v>101</v>
      </c>
    </row>
    <row r="76">
      <c r="A76" s="42" t="s">
        <v>199</v>
      </c>
      <c r="B76" s="42" t="s">
        <v>200</v>
      </c>
      <c r="C76" s="42" t="s">
        <v>101</v>
      </c>
    </row>
    <row r="77">
      <c r="A77" s="42" t="s">
        <v>201</v>
      </c>
      <c r="B77" s="42" t="s">
        <v>202</v>
      </c>
      <c r="C77" s="42" t="s">
        <v>101</v>
      </c>
    </row>
    <row r="78">
      <c r="A78" s="42" t="s">
        <v>203</v>
      </c>
      <c r="B78" s="42" t="s">
        <v>204</v>
      </c>
      <c r="C78" s="42" t="s">
        <v>50</v>
      </c>
    </row>
    <row r="79">
      <c r="A79" s="42" t="s">
        <v>205</v>
      </c>
      <c r="B79" s="42" t="s">
        <v>206</v>
      </c>
      <c r="C79" s="42" t="s">
        <v>101</v>
      </c>
    </row>
    <row r="80">
      <c r="A80" s="42" t="s">
        <v>207</v>
      </c>
      <c r="B80" s="42" t="s">
        <v>208</v>
      </c>
      <c r="C80" s="42" t="s">
        <v>50</v>
      </c>
    </row>
    <row r="81">
      <c r="A81" s="42" t="s">
        <v>209</v>
      </c>
      <c r="B81" s="42" t="s">
        <v>210</v>
      </c>
      <c r="C81" s="42" t="s">
        <v>50</v>
      </c>
    </row>
    <row r="82">
      <c r="A82" s="42" t="s">
        <v>211</v>
      </c>
      <c r="B82" s="42" t="s">
        <v>212</v>
      </c>
      <c r="C82" s="42" t="s">
        <v>50</v>
      </c>
    </row>
    <row r="83">
      <c r="A83" s="42" t="s">
        <v>213</v>
      </c>
      <c r="B83" s="42" t="s">
        <v>214</v>
      </c>
      <c r="C83" s="42" t="s">
        <v>50</v>
      </c>
    </row>
    <row r="84">
      <c r="A84" s="42" t="s">
        <v>215</v>
      </c>
      <c r="B84" s="42" t="s">
        <v>216</v>
      </c>
      <c r="C84" s="42" t="s">
        <v>50</v>
      </c>
    </row>
    <row r="85">
      <c r="A85" s="42" t="s">
        <v>217</v>
      </c>
      <c r="B85" s="42" t="s">
        <v>218</v>
      </c>
      <c r="C85" s="42" t="s">
        <v>50</v>
      </c>
    </row>
    <row r="86">
      <c r="A86" s="42" t="s">
        <v>219</v>
      </c>
      <c r="B86" s="42" t="s">
        <v>220</v>
      </c>
      <c r="C86" s="42" t="s">
        <v>50</v>
      </c>
    </row>
    <row r="87">
      <c r="A87" s="42" t="s">
        <v>221</v>
      </c>
      <c r="B87" s="42" t="s">
        <v>139</v>
      </c>
      <c r="C87" s="42" t="s">
        <v>101</v>
      </c>
    </row>
    <row r="88">
      <c r="A88" s="42" t="s">
        <v>222</v>
      </c>
      <c r="B88" s="42" t="s">
        <v>223</v>
      </c>
      <c r="C88" s="42" t="s">
        <v>101</v>
      </c>
    </row>
    <row r="89">
      <c r="A89" s="42" t="s">
        <v>224</v>
      </c>
      <c r="B89" s="42" t="s">
        <v>225</v>
      </c>
      <c r="C89" s="42" t="s">
        <v>57</v>
      </c>
    </row>
    <row r="90">
      <c r="A90" s="42" t="s">
        <v>226</v>
      </c>
      <c r="B90" s="42" t="s">
        <v>227</v>
      </c>
      <c r="C90" s="42" t="s">
        <v>50</v>
      </c>
    </row>
    <row r="91">
      <c r="A91" s="42" t="s">
        <v>228</v>
      </c>
      <c r="B91" s="42" t="s">
        <v>229</v>
      </c>
      <c r="C91" s="42" t="s">
        <v>50</v>
      </c>
    </row>
    <row r="92">
      <c r="A92" s="42" t="s">
        <v>230</v>
      </c>
      <c r="B92" s="42" t="s">
        <v>231</v>
      </c>
      <c r="C92" s="42" t="s">
        <v>101</v>
      </c>
    </row>
    <row r="93">
      <c r="A93" s="42" t="s">
        <v>232</v>
      </c>
      <c r="B93" s="42" t="s">
        <v>233</v>
      </c>
      <c r="C93" s="42" t="s">
        <v>50</v>
      </c>
    </row>
    <row r="94">
      <c r="A94" s="42" t="s">
        <v>234</v>
      </c>
      <c r="B94" s="42" t="s">
        <v>235</v>
      </c>
      <c r="C94" s="42" t="s">
        <v>101</v>
      </c>
    </row>
    <row r="95">
      <c r="A95" s="42" t="s">
        <v>236</v>
      </c>
      <c r="B95" s="42" t="s">
        <v>237</v>
      </c>
      <c r="C95" s="42" t="s">
        <v>50</v>
      </c>
    </row>
    <row r="96">
      <c r="A96" s="42" t="s">
        <v>238</v>
      </c>
      <c r="B96" s="42" t="s">
        <v>239</v>
      </c>
      <c r="C96" s="42" t="s">
        <v>50</v>
      </c>
    </row>
    <row r="97">
      <c r="A97" s="42" t="s">
        <v>240</v>
      </c>
      <c r="B97" s="42" t="s">
        <v>241</v>
      </c>
      <c r="C97" s="42" t="s">
        <v>101</v>
      </c>
    </row>
    <row r="98">
      <c r="A98" s="42" t="s">
        <v>242</v>
      </c>
      <c r="B98" s="42" t="s">
        <v>243</v>
      </c>
      <c r="C98" s="42" t="s">
        <v>50</v>
      </c>
    </row>
    <row r="99">
      <c r="A99" s="42" t="s">
        <v>244</v>
      </c>
      <c r="B99" s="42" t="s">
        <v>245</v>
      </c>
      <c r="C99" s="42" t="s">
        <v>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75"/>
    <col customWidth="1" min="3" max="3" width="18.25"/>
    <col customWidth="1" min="5" max="5" width="21.38"/>
    <col customWidth="1" min="7" max="7" width="18.75"/>
    <col customWidth="1" min="8" max="8" width="20.13"/>
    <col customWidth="1" min="9" max="9" width="15.25"/>
    <col customWidth="1" min="14" max="14" width="104.25"/>
    <col customWidth="1" min="16" max="16" width="19.5"/>
  </cols>
  <sheetData>
    <row r="1">
      <c r="A1" s="42" t="s">
        <v>246</v>
      </c>
      <c r="B1" s="42" t="s">
        <v>45</v>
      </c>
      <c r="C1" s="42" t="s">
        <v>46</v>
      </c>
      <c r="D1" s="42" t="s">
        <v>247</v>
      </c>
      <c r="E1" s="42" t="s">
        <v>248</v>
      </c>
      <c r="F1" s="42" t="s">
        <v>249</v>
      </c>
      <c r="G1" s="42" t="s">
        <v>47</v>
      </c>
      <c r="H1" s="42" t="s">
        <v>250</v>
      </c>
      <c r="I1" s="13" t="s">
        <v>251</v>
      </c>
      <c r="J1" s="13" t="s">
        <v>252</v>
      </c>
      <c r="K1" s="13" t="s">
        <v>253</v>
      </c>
      <c r="L1" s="13" t="s">
        <v>254</v>
      </c>
      <c r="M1" s="13" t="s">
        <v>255</v>
      </c>
      <c r="N1" s="13" t="s">
        <v>256</v>
      </c>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row>
    <row r="2">
      <c r="A2" s="44"/>
      <c r="B2" s="43"/>
      <c r="C2" s="42"/>
      <c r="D2" s="45"/>
      <c r="E2" s="42"/>
      <c r="F2" s="42"/>
      <c r="G2" s="42"/>
      <c r="H2" s="42"/>
      <c r="I2" s="46"/>
      <c r="J2" s="47"/>
      <c r="K2" s="13"/>
      <c r="L2" s="48"/>
      <c r="M2" s="15"/>
      <c r="N2" s="34"/>
      <c r="O2" s="42"/>
      <c r="P2" s="42"/>
      <c r="Q2" s="42"/>
      <c r="R2" s="42"/>
      <c r="S2" s="44"/>
      <c r="T2" s="45"/>
      <c r="U2" s="42"/>
      <c r="V2" s="42"/>
      <c r="W2" s="45"/>
      <c r="X2" s="45"/>
      <c r="Y2" s="45"/>
      <c r="Z2" s="45"/>
      <c r="AA2" s="42"/>
      <c r="AB2" s="42"/>
      <c r="AC2" s="45"/>
      <c r="AD2" s="44"/>
      <c r="AE2" s="44"/>
      <c r="AF2" s="44"/>
      <c r="AG2" s="45"/>
      <c r="AH2" s="44"/>
      <c r="AI2" s="44"/>
      <c r="AJ2" s="44"/>
      <c r="AK2" s="45"/>
      <c r="AL2" s="45"/>
      <c r="AM2" s="45"/>
      <c r="AN2" s="45"/>
      <c r="AO2" s="46"/>
      <c r="AP2" s="46"/>
      <c r="AQ2" s="42"/>
      <c r="AR2" s="42"/>
    </row>
    <row r="3">
      <c r="A3" s="44"/>
      <c r="B3" s="43"/>
      <c r="C3" s="42"/>
      <c r="D3" s="45"/>
      <c r="E3" s="42"/>
      <c r="F3" s="42"/>
      <c r="G3" s="42"/>
      <c r="H3" s="42"/>
      <c r="I3" s="46"/>
      <c r="J3" s="47"/>
      <c r="K3" s="13"/>
      <c r="L3" s="48"/>
      <c r="M3" s="15"/>
      <c r="N3" s="34"/>
      <c r="O3" s="42"/>
      <c r="P3" s="42"/>
      <c r="Q3" s="42"/>
      <c r="R3" s="42"/>
      <c r="S3" s="44"/>
      <c r="T3" s="45"/>
      <c r="U3" s="42"/>
      <c r="V3" s="42"/>
      <c r="W3" s="45"/>
      <c r="X3" s="45"/>
      <c r="Y3" s="45"/>
      <c r="Z3" s="45"/>
      <c r="AA3" s="42"/>
      <c r="AB3" s="42"/>
      <c r="AC3" s="45"/>
      <c r="AD3" s="44"/>
      <c r="AE3" s="44"/>
      <c r="AF3" s="44"/>
      <c r="AG3" s="45"/>
      <c r="AH3" s="44"/>
      <c r="AI3" s="44"/>
      <c r="AJ3" s="44"/>
      <c r="AK3" s="45"/>
      <c r="AL3" s="45"/>
      <c r="AM3" s="45"/>
      <c r="AN3" s="45"/>
      <c r="AO3" s="46"/>
      <c r="AP3" s="46"/>
      <c r="AQ3" s="42"/>
      <c r="AR3" s="42"/>
    </row>
    <row r="4">
      <c r="A4" s="44"/>
      <c r="B4" s="43"/>
      <c r="C4" s="42"/>
      <c r="D4" s="45"/>
      <c r="E4" s="42"/>
      <c r="F4" s="42"/>
      <c r="G4" s="42"/>
      <c r="H4" s="42"/>
      <c r="I4" s="46"/>
      <c r="J4" s="47"/>
      <c r="K4" s="13"/>
      <c r="L4" s="48"/>
      <c r="M4" s="15"/>
      <c r="N4" s="34"/>
      <c r="O4" s="42"/>
      <c r="P4" s="42"/>
      <c r="Q4" s="42"/>
      <c r="R4" s="42"/>
      <c r="S4" s="44"/>
      <c r="T4" s="45"/>
      <c r="U4" s="42"/>
      <c r="V4" s="42"/>
      <c r="W4" s="45"/>
      <c r="X4" s="45"/>
      <c r="Y4" s="45"/>
      <c r="Z4" s="45"/>
      <c r="AA4" s="42"/>
      <c r="AB4" s="42"/>
      <c r="AC4" s="45"/>
      <c r="AD4" s="44"/>
      <c r="AE4" s="44"/>
      <c r="AF4" s="44"/>
      <c r="AG4" s="45"/>
      <c r="AH4" s="44"/>
      <c r="AI4" s="44"/>
      <c r="AJ4" s="44"/>
      <c r="AK4" s="45"/>
      <c r="AL4" s="45"/>
      <c r="AM4" s="45"/>
      <c r="AN4" s="45"/>
      <c r="AO4" s="46"/>
      <c r="AP4" s="46"/>
      <c r="AQ4" s="42"/>
      <c r="AR4" s="42"/>
    </row>
    <row r="5">
      <c r="A5" s="49">
        <v>1.3620414E7</v>
      </c>
      <c r="B5" s="50" t="s">
        <v>128</v>
      </c>
      <c r="C5" s="42"/>
      <c r="D5" s="45"/>
      <c r="E5" s="42"/>
      <c r="F5" s="42"/>
      <c r="G5" s="42" t="s">
        <v>57</v>
      </c>
      <c r="H5" s="42" t="s">
        <v>40</v>
      </c>
      <c r="J5" s="51">
        <v>46073.0</v>
      </c>
      <c r="K5" s="13" t="s">
        <v>42</v>
      </c>
      <c r="L5" s="48">
        <v>2.0</v>
      </c>
      <c r="M5" s="15">
        <v>34264.0</v>
      </c>
      <c r="N5" s="34" t="s">
        <v>257</v>
      </c>
      <c r="O5" s="42"/>
      <c r="P5" s="42"/>
      <c r="Q5" s="42"/>
      <c r="R5" s="42"/>
      <c r="S5" s="44"/>
      <c r="T5" s="45"/>
      <c r="U5" s="42"/>
      <c r="V5" s="42"/>
      <c r="W5" s="45"/>
      <c r="X5" s="45"/>
      <c r="Y5" s="45"/>
      <c r="Z5" s="45"/>
      <c r="AA5" s="42"/>
      <c r="AB5" s="42"/>
      <c r="AC5" s="45"/>
      <c r="AD5" s="44"/>
      <c r="AE5" s="44"/>
      <c r="AF5" s="44"/>
      <c r="AG5" s="45"/>
      <c r="AH5" s="44"/>
      <c r="AI5" s="44"/>
      <c r="AJ5" s="44"/>
      <c r="AK5" s="45"/>
      <c r="AL5" s="45"/>
      <c r="AM5" s="45"/>
      <c r="AN5" s="45"/>
      <c r="AO5" s="46"/>
      <c r="AP5" s="46"/>
      <c r="AQ5" s="42"/>
      <c r="AR5" s="42"/>
    </row>
    <row r="6">
      <c r="A6" s="49">
        <v>1.3619121E7</v>
      </c>
      <c r="B6" s="50" t="s">
        <v>134</v>
      </c>
      <c r="C6" s="42"/>
      <c r="D6" s="45"/>
      <c r="E6" s="42"/>
      <c r="F6" s="42"/>
      <c r="G6" s="42" t="s">
        <v>57</v>
      </c>
      <c r="H6" s="42" t="s">
        <v>40</v>
      </c>
      <c r="I6" s="51"/>
      <c r="J6" s="51">
        <v>46072.0</v>
      </c>
      <c r="K6" s="13" t="s">
        <v>258</v>
      </c>
      <c r="L6" s="48">
        <v>2.0</v>
      </c>
      <c r="M6" s="15"/>
      <c r="N6" s="34" t="s">
        <v>259</v>
      </c>
      <c r="O6" s="42"/>
      <c r="P6" s="42"/>
      <c r="Q6" s="42"/>
      <c r="R6" s="42"/>
      <c r="S6" s="44"/>
      <c r="T6" s="45"/>
      <c r="U6" s="42"/>
      <c r="V6" s="42"/>
      <c r="W6" s="45"/>
      <c r="X6" s="45"/>
      <c r="Y6" s="45"/>
      <c r="Z6" s="45"/>
      <c r="AA6" s="42"/>
      <c r="AB6" s="42"/>
      <c r="AC6" s="45"/>
      <c r="AD6" s="44"/>
      <c r="AE6" s="44"/>
      <c r="AF6" s="44"/>
      <c r="AG6" s="45"/>
      <c r="AH6" s="44"/>
      <c r="AI6" s="44"/>
      <c r="AJ6" s="44"/>
      <c r="AK6" s="45"/>
      <c r="AL6" s="45"/>
      <c r="AM6" s="45"/>
      <c r="AN6" s="45"/>
      <c r="AO6" s="46"/>
      <c r="AP6" s="46"/>
      <c r="AQ6" s="42"/>
      <c r="AR6" s="42"/>
    </row>
    <row r="7">
      <c r="A7" s="49">
        <v>1.3619087E7</v>
      </c>
      <c r="B7" s="50" t="s">
        <v>136</v>
      </c>
      <c r="C7" s="42"/>
      <c r="D7" s="45"/>
      <c r="E7" s="42"/>
      <c r="F7" s="42"/>
      <c r="G7" s="42" t="s">
        <v>57</v>
      </c>
      <c r="H7" s="42" t="s">
        <v>40</v>
      </c>
      <c r="I7" s="46"/>
      <c r="J7" s="51">
        <v>46072.0</v>
      </c>
      <c r="K7" s="13"/>
      <c r="L7" s="48"/>
      <c r="M7" s="15"/>
      <c r="N7" s="34"/>
      <c r="O7" s="42"/>
      <c r="P7" s="42"/>
      <c r="Q7" s="42"/>
      <c r="R7" s="42"/>
      <c r="S7" s="44"/>
      <c r="T7" s="45"/>
      <c r="U7" s="42"/>
      <c r="V7" s="42"/>
      <c r="W7" s="45"/>
      <c r="X7" s="45"/>
      <c r="Y7" s="45"/>
      <c r="Z7" s="45"/>
      <c r="AA7" s="42"/>
      <c r="AB7" s="42"/>
      <c r="AC7" s="45"/>
      <c r="AD7" s="44"/>
      <c r="AE7" s="44"/>
      <c r="AF7" s="44"/>
      <c r="AG7" s="45"/>
      <c r="AH7" s="44"/>
      <c r="AI7" s="44"/>
      <c r="AJ7" s="44"/>
      <c r="AK7" s="45"/>
      <c r="AL7" s="45"/>
      <c r="AM7" s="45"/>
      <c r="AN7" s="45"/>
      <c r="AO7" s="46"/>
      <c r="AP7" s="46"/>
      <c r="AQ7" s="42"/>
      <c r="AR7" s="42"/>
    </row>
    <row r="8">
      <c r="A8" s="49">
        <v>1.3564557E7</v>
      </c>
      <c r="B8" s="50" t="s">
        <v>169</v>
      </c>
      <c r="C8" s="42"/>
      <c r="D8" s="45"/>
      <c r="E8" s="42"/>
      <c r="F8" s="42"/>
      <c r="G8" s="42" t="s">
        <v>57</v>
      </c>
      <c r="H8" s="42" t="s">
        <v>40</v>
      </c>
      <c r="I8" s="46"/>
      <c r="J8" s="51">
        <v>46072.0</v>
      </c>
      <c r="K8" s="13" t="s">
        <v>260</v>
      </c>
      <c r="L8" s="48">
        <v>2.0</v>
      </c>
      <c r="M8" s="15"/>
      <c r="N8" s="34" t="s">
        <v>261</v>
      </c>
      <c r="O8" s="42"/>
      <c r="P8" s="42"/>
      <c r="Q8" s="42"/>
      <c r="R8" s="42"/>
      <c r="S8" s="44"/>
      <c r="T8" s="45"/>
      <c r="U8" s="42"/>
      <c r="V8" s="42"/>
      <c r="W8" s="45"/>
      <c r="X8" s="45"/>
      <c r="Y8" s="45"/>
      <c r="Z8" s="45"/>
      <c r="AA8" s="42"/>
      <c r="AB8" s="42"/>
      <c r="AC8" s="45"/>
      <c r="AD8" s="44"/>
      <c r="AE8" s="44"/>
      <c r="AF8" s="44"/>
      <c r="AG8" s="45"/>
      <c r="AH8" s="44"/>
      <c r="AI8" s="44"/>
      <c r="AJ8" s="44"/>
      <c r="AK8" s="45"/>
      <c r="AL8" s="45"/>
      <c r="AM8" s="45"/>
      <c r="AN8" s="45"/>
      <c r="AO8" s="46"/>
      <c r="AP8" s="46"/>
      <c r="AQ8" s="42"/>
      <c r="AR8" s="42"/>
    </row>
    <row r="9" ht="18.0" customHeight="1">
      <c r="A9" s="49">
        <v>1.3616879E7</v>
      </c>
      <c r="B9" s="50" t="s">
        <v>140</v>
      </c>
      <c r="C9" s="42"/>
      <c r="D9" s="45"/>
      <c r="E9" s="42"/>
      <c r="F9" s="42"/>
      <c r="G9" s="42" t="s">
        <v>57</v>
      </c>
      <c r="H9" s="42" t="s">
        <v>40</v>
      </c>
      <c r="I9" s="46"/>
      <c r="J9" s="51">
        <v>46072.0</v>
      </c>
      <c r="K9" s="13"/>
      <c r="L9" s="48"/>
      <c r="M9" s="15"/>
      <c r="N9" s="34"/>
      <c r="O9" s="42"/>
      <c r="P9" s="42"/>
      <c r="Q9" s="42"/>
      <c r="R9" s="42"/>
      <c r="S9" s="44"/>
      <c r="T9" s="45"/>
      <c r="U9" s="42"/>
      <c r="V9" s="42"/>
      <c r="W9" s="45"/>
      <c r="X9" s="45"/>
      <c r="Y9" s="45"/>
      <c r="Z9" s="45"/>
      <c r="AA9" s="42"/>
      <c r="AB9" s="42"/>
      <c r="AC9" s="45"/>
      <c r="AD9" s="44"/>
      <c r="AE9" s="44"/>
      <c r="AF9" s="44"/>
      <c r="AG9" s="45"/>
      <c r="AH9" s="44"/>
      <c r="AI9" s="44"/>
      <c r="AJ9" s="44"/>
      <c r="AK9" s="45"/>
      <c r="AL9" s="45"/>
      <c r="AM9" s="45"/>
      <c r="AN9" s="45"/>
      <c r="AO9" s="46"/>
      <c r="AP9" s="46"/>
      <c r="AQ9" s="42"/>
      <c r="AR9" s="42"/>
    </row>
    <row r="10" ht="24.75" customHeight="1">
      <c r="A10" s="49">
        <v>1.3615411E7</v>
      </c>
      <c r="B10" s="50" t="s">
        <v>148</v>
      </c>
      <c r="C10" s="42"/>
      <c r="D10" s="45"/>
      <c r="E10" s="42"/>
      <c r="F10" s="42"/>
      <c r="G10" s="42" t="s">
        <v>57</v>
      </c>
      <c r="H10" s="42" t="s">
        <v>40</v>
      </c>
      <c r="I10" s="46"/>
      <c r="J10" s="51">
        <v>46072.0</v>
      </c>
      <c r="K10" s="13" t="s">
        <v>260</v>
      </c>
      <c r="L10" s="48">
        <v>7.0</v>
      </c>
      <c r="M10" s="15">
        <v>18445.0</v>
      </c>
      <c r="N10" s="52" t="s">
        <v>262</v>
      </c>
      <c r="O10" s="53" t="s">
        <v>262</v>
      </c>
      <c r="P10" s="42"/>
      <c r="Q10" s="42"/>
      <c r="R10" s="42"/>
      <c r="S10" s="44"/>
      <c r="T10" s="45"/>
      <c r="U10" s="42"/>
      <c r="V10" s="42"/>
      <c r="W10" s="45"/>
      <c r="X10" s="45"/>
      <c r="Y10" s="45"/>
      <c r="Z10" s="45"/>
      <c r="AA10" s="42"/>
      <c r="AB10" s="42"/>
      <c r="AC10" s="45"/>
      <c r="AD10" s="44"/>
      <c r="AE10" s="44"/>
      <c r="AF10" s="44"/>
      <c r="AG10" s="45"/>
      <c r="AH10" s="44"/>
      <c r="AI10" s="44"/>
      <c r="AJ10" s="44"/>
      <c r="AK10" s="45"/>
      <c r="AL10" s="45"/>
      <c r="AM10" s="45"/>
      <c r="AN10" s="45"/>
      <c r="AO10" s="46"/>
      <c r="AP10" s="46"/>
      <c r="AQ10" s="42"/>
      <c r="AR10" s="42"/>
    </row>
    <row r="11">
      <c r="A11" s="49">
        <v>1.3564541E7</v>
      </c>
      <c r="B11" s="50" t="s">
        <v>171</v>
      </c>
      <c r="C11" s="42"/>
      <c r="D11" s="45"/>
      <c r="E11" s="42"/>
      <c r="F11" s="42"/>
      <c r="G11" s="42" t="s">
        <v>57</v>
      </c>
      <c r="H11" s="42" t="s">
        <v>40</v>
      </c>
      <c r="I11" s="46"/>
      <c r="J11" s="51">
        <v>46072.0</v>
      </c>
      <c r="K11" s="13"/>
      <c r="L11" s="48"/>
      <c r="M11" s="15"/>
      <c r="N11" s="34"/>
      <c r="O11" s="42"/>
      <c r="P11" s="42"/>
      <c r="Q11" s="42"/>
      <c r="R11" s="42"/>
      <c r="S11" s="44"/>
      <c r="T11" s="45"/>
      <c r="U11" s="42"/>
      <c r="V11" s="42"/>
      <c r="W11" s="45"/>
      <c r="X11" s="45"/>
      <c r="Y11" s="45"/>
      <c r="Z11" s="45"/>
      <c r="AA11" s="42"/>
      <c r="AB11" s="42"/>
      <c r="AC11" s="45"/>
      <c r="AD11" s="44"/>
      <c r="AE11" s="44"/>
      <c r="AF11" s="44"/>
      <c r="AG11" s="45"/>
      <c r="AH11" s="44"/>
      <c r="AI11" s="44"/>
      <c r="AJ11" s="44"/>
      <c r="AK11" s="45"/>
      <c r="AL11" s="45"/>
      <c r="AM11" s="45"/>
      <c r="AN11" s="45"/>
      <c r="AO11" s="46"/>
      <c r="AP11" s="46"/>
      <c r="AQ11" s="42"/>
      <c r="AR11" s="42"/>
    </row>
    <row r="12">
      <c r="A12" s="49">
        <v>1.3643854E7</v>
      </c>
      <c r="B12" s="50" t="s">
        <v>114</v>
      </c>
      <c r="C12" s="42"/>
      <c r="D12" s="45"/>
      <c r="E12" s="42"/>
      <c r="F12" s="42"/>
      <c r="G12" s="42" t="s">
        <v>57</v>
      </c>
      <c r="H12" s="42" t="s">
        <v>40</v>
      </c>
      <c r="I12" s="46"/>
      <c r="J12" s="51">
        <v>46072.0</v>
      </c>
      <c r="K12" s="13"/>
      <c r="L12" s="48"/>
      <c r="M12" s="15"/>
      <c r="N12" s="34"/>
      <c r="O12" s="42"/>
      <c r="P12" s="42"/>
      <c r="Q12" s="42"/>
      <c r="R12" s="42"/>
      <c r="S12" s="44"/>
      <c r="T12" s="45"/>
      <c r="U12" s="42"/>
      <c r="V12" s="42"/>
      <c r="W12" s="45"/>
      <c r="X12" s="45"/>
      <c r="Y12" s="45"/>
      <c r="Z12" s="45"/>
      <c r="AA12" s="42"/>
      <c r="AB12" s="42"/>
      <c r="AC12" s="45"/>
      <c r="AD12" s="44"/>
      <c r="AE12" s="44"/>
      <c r="AF12" s="44"/>
      <c r="AG12" s="45"/>
      <c r="AH12" s="44"/>
      <c r="AI12" s="44"/>
      <c r="AJ12" s="44"/>
      <c r="AK12" s="45"/>
      <c r="AL12" s="45"/>
      <c r="AM12" s="45"/>
      <c r="AN12" s="45"/>
      <c r="AO12" s="46"/>
      <c r="AP12" s="46"/>
      <c r="AQ12" s="42"/>
      <c r="AR12" s="42"/>
    </row>
    <row r="13">
      <c r="A13" s="49">
        <v>1.3619568E7</v>
      </c>
      <c r="B13" s="50" t="s">
        <v>132</v>
      </c>
      <c r="C13" s="42"/>
      <c r="D13" s="45"/>
      <c r="E13" s="42"/>
      <c r="F13" s="42"/>
      <c r="G13" s="42" t="s">
        <v>57</v>
      </c>
      <c r="H13" s="42" t="s">
        <v>40</v>
      </c>
      <c r="I13" s="46"/>
      <c r="J13" s="51">
        <v>46072.0</v>
      </c>
      <c r="K13" s="13"/>
      <c r="L13" s="48"/>
      <c r="M13" s="15"/>
      <c r="N13" s="34"/>
      <c r="O13" s="42"/>
      <c r="P13" s="42"/>
      <c r="Q13" s="42"/>
      <c r="R13" s="42"/>
      <c r="S13" s="44"/>
      <c r="T13" s="45"/>
      <c r="U13" s="42"/>
      <c r="V13" s="42"/>
      <c r="W13" s="45"/>
      <c r="X13" s="45"/>
      <c r="Y13" s="45"/>
      <c r="Z13" s="45"/>
      <c r="AA13" s="42"/>
      <c r="AB13" s="42"/>
      <c r="AC13" s="45"/>
      <c r="AD13" s="44"/>
      <c r="AE13" s="44"/>
      <c r="AF13" s="44"/>
      <c r="AG13" s="45"/>
      <c r="AH13" s="44"/>
      <c r="AI13" s="44"/>
      <c r="AJ13" s="44"/>
      <c r="AK13" s="45"/>
      <c r="AL13" s="45"/>
      <c r="AM13" s="45"/>
      <c r="AN13" s="45"/>
      <c r="AO13" s="46"/>
      <c r="AP13" s="46"/>
      <c r="AQ13" s="42"/>
      <c r="AR13" s="42"/>
    </row>
    <row r="14">
      <c r="A14" s="49">
        <v>1.3566373E7</v>
      </c>
      <c r="B14" s="50" t="s">
        <v>160</v>
      </c>
      <c r="C14" s="42"/>
      <c r="D14" s="45"/>
      <c r="E14" s="42"/>
      <c r="F14" s="42"/>
      <c r="G14" s="42" t="s">
        <v>57</v>
      </c>
      <c r="H14" s="42" t="s">
        <v>40</v>
      </c>
      <c r="I14" s="46"/>
      <c r="J14" s="51">
        <v>46072.0</v>
      </c>
      <c r="K14" s="13" t="s">
        <v>263</v>
      </c>
      <c r="L14" s="48">
        <v>10.0</v>
      </c>
      <c r="M14" s="15">
        <v>17005.0</v>
      </c>
      <c r="N14" s="34" t="s">
        <v>264</v>
      </c>
      <c r="O14" s="42"/>
      <c r="P14" s="42"/>
      <c r="Q14" s="42"/>
      <c r="R14" s="42"/>
      <c r="S14" s="44"/>
      <c r="T14" s="45"/>
      <c r="U14" s="42"/>
      <c r="V14" s="42"/>
      <c r="W14" s="45"/>
      <c r="X14" s="45"/>
      <c r="Y14" s="45"/>
      <c r="Z14" s="45"/>
      <c r="AA14" s="42"/>
      <c r="AB14" s="42"/>
      <c r="AC14" s="45"/>
      <c r="AD14" s="44"/>
      <c r="AE14" s="44"/>
      <c r="AF14" s="44"/>
      <c r="AG14" s="45"/>
      <c r="AH14" s="44"/>
      <c r="AI14" s="44"/>
      <c r="AJ14" s="44"/>
      <c r="AK14" s="45"/>
      <c r="AL14" s="45"/>
      <c r="AM14" s="45"/>
      <c r="AN14" s="45"/>
      <c r="AO14" s="46"/>
      <c r="AP14" s="46"/>
      <c r="AQ14" s="42"/>
      <c r="AR14" s="42"/>
    </row>
    <row r="15">
      <c r="A15" s="49">
        <v>1.3643748E7</v>
      </c>
      <c r="B15" s="50" t="s">
        <v>116</v>
      </c>
      <c r="C15" s="42"/>
      <c r="D15" s="45"/>
      <c r="E15" s="42"/>
      <c r="F15" s="42"/>
      <c r="G15" s="42" t="s">
        <v>57</v>
      </c>
      <c r="H15" s="42" t="s">
        <v>40</v>
      </c>
      <c r="I15" s="46"/>
      <c r="J15" s="51">
        <v>46072.0</v>
      </c>
      <c r="K15" s="13"/>
      <c r="L15" s="48"/>
      <c r="M15" s="15"/>
      <c r="N15" s="34"/>
      <c r="O15" s="42"/>
      <c r="P15" s="42"/>
      <c r="Q15" s="42"/>
      <c r="R15" s="42"/>
      <c r="S15" s="44"/>
      <c r="T15" s="45"/>
      <c r="U15" s="42"/>
      <c r="V15" s="42"/>
      <c r="W15" s="45"/>
      <c r="X15" s="45"/>
      <c r="Y15" s="45"/>
      <c r="Z15" s="45"/>
      <c r="AA15" s="42"/>
      <c r="AB15" s="42"/>
      <c r="AC15" s="45"/>
      <c r="AD15" s="44"/>
      <c r="AE15" s="44"/>
      <c r="AF15" s="44"/>
      <c r="AG15" s="45"/>
      <c r="AH15" s="44"/>
      <c r="AI15" s="44"/>
      <c r="AJ15" s="44"/>
      <c r="AK15" s="45"/>
      <c r="AL15" s="45"/>
      <c r="AM15" s="45"/>
      <c r="AN15" s="45"/>
      <c r="AO15" s="46"/>
      <c r="AP15" s="46"/>
      <c r="AQ15" s="42"/>
      <c r="AR15" s="42"/>
    </row>
    <row r="16">
      <c r="A16" s="49">
        <v>1.3636139E7</v>
      </c>
      <c r="B16" s="54" t="s">
        <v>124</v>
      </c>
      <c r="C16" s="42"/>
      <c r="D16" s="45"/>
      <c r="E16" s="42"/>
      <c r="F16" s="42"/>
      <c r="G16" s="42" t="s">
        <v>57</v>
      </c>
      <c r="H16" s="42" t="s">
        <v>40</v>
      </c>
      <c r="I16" s="46"/>
      <c r="J16" s="51">
        <v>46072.0</v>
      </c>
      <c r="K16" s="13" t="s">
        <v>265</v>
      </c>
      <c r="L16" s="48">
        <v>5.0</v>
      </c>
      <c r="M16" s="15">
        <v>35230.0</v>
      </c>
      <c r="N16" s="34" t="s">
        <v>266</v>
      </c>
      <c r="O16" s="42"/>
      <c r="P16" s="42"/>
      <c r="Q16" s="42"/>
      <c r="R16" s="42"/>
      <c r="S16" s="44"/>
      <c r="T16" s="45"/>
      <c r="U16" s="42"/>
      <c r="V16" s="42"/>
      <c r="W16" s="45"/>
      <c r="X16" s="45"/>
      <c r="Y16" s="45"/>
      <c r="Z16" s="45"/>
      <c r="AA16" s="42"/>
      <c r="AB16" s="42"/>
      <c r="AC16" s="45"/>
      <c r="AD16" s="44"/>
      <c r="AE16" s="44"/>
      <c r="AF16" s="44"/>
      <c r="AG16" s="45"/>
      <c r="AH16" s="44"/>
      <c r="AI16" s="44"/>
      <c r="AJ16" s="44"/>
      <c r="AK16" s="45"/>
      <c r="AL16" s="45"/>
      <c r="AM16" s="45"/>
      <c r="AN16" s="45"/>
      <c r="AO16" s="46"/>
      <c r="AP16" s="46"/>
      <c r="AQ16" s="42"/>
      <c r="AR16" s="42"/>
    </row>
    <row r="17">
      <c r="A17" s="49">
        <v>1.3614005E7</v>
      </c>
      <c r="B17" s="50" t="s">
        <v>152</v>
      </c>
      <c r="C17" s="42"/>
      <c r="D17" s="45"/>
      <c r="E17" s="42"/>
      <c r="F17" s="42"/>
      <c r="G17" s="42" t="s">
        <v>57</v>
      </c>
      <c r="H17" s="42" t="s">
        <v>40</v>
      </c>
      <c r="I17" s="46"/>
      <c r="J17" s="47">
        <v>46071.0</v>
      </c>
      <c r="K17" s="13" t="s">
        <v>267</v>
      </c>
      <c r="L17" s="48">
        <v>1.0</v>
      </c>
      <c r="M17" s="15"/>
      <c r="N17" s="34" t="s">
        <v>268</v>
      </c>
      <c r="O17" s="42"/>
      <c r="P17" s="42"/>
      <c r="Q17" s="42"/>
      <c r="R17" s="42"/>
      <c r="S17" s="44"/>
      <c r="T17" s="45"/>
      <c r="U17" s="42"/>
      <c r="V17" s="42"/>
      <c r="W17" s="45"/>
      <c r="X17" s="45"/>
      <c r="Y17" s="45"/>
      <c r="Z17" s="45"/>
      <c r="AA17" s="42"/>
      <c r="AB17" s="42"/>
      <c r="AC17" s="45"/>
      <c r="AD17" s="44"/>
      <c r="AE17" s="44"/>
      <c r="AF17" s="44"/>
      <c r="AG17" s="45"/>
      <c r="AH17" s="44"/>
      <c r="AI17" s="44"/>
      <c r="AJ17" s="44"/>
      <c r="AK17" s="45"/>
      <c r="AL17" s="45"/>
      <c r="AM17" s="45"/>
      <c r="AN17" s="45"/>
      <c r="AO17" s="46"/>
      <c r="AP17" s="46"/>
      <c r="AQ17" s="42"/>
      <c r="AR17" s="42"/>
    </row>
    <row r="18">
      <c r="A18" s="49">
        <v>1.3548255E7</v>
      </c>
      <c r="B18" s="50" t="s">
        <v>172</v>
      </c>
      <c r="C18" s="42"/>
      <c r="D18" s="45"/>
      <c r="E18" s="42"/>
      <c r="F18" s="42"/>
      <c r="G18" s="42" t="s">
        <v>57</v>
      </c>
      <c r="H18" s="42" t="s">
        <v>40</v>
      </c>
      <c r="I18" s="46"/>
      <c r="J18" s="47">
        <v>46071.0</v>
      </c>
      <c r="K18" s="13"/>
      <c r="L18" s="48"/>
      <c r="M18" s="15"/>
      <c r="N18" s="34"/>
      <c r="O18" s="42"/>
      <c r="P18" s="42"/>
      <c r="Q18" s="42"/>
      <c r="R18" s="42"/>
      <c r="S18" s="44"/>
      <c r="T18" s="45"/>
      <c r="U18" s="42"/>
      <c r="V18" s="42"/>
      <c r="W18" s="45"/>
      <c r="X18" s="45"/>
      <c r="Y18" s="45"/>
      <c r="Z18" s="45"/>
      <c r="AA18" s="42"/>
      <c r="AB18" s="42"/>
      <c r="AC18" s="45"/>
      <c r="AD18" s="44"/>
      <c r="AE18" s="44"/>
      <c r="AF18" s="44"/>
      <c r="AG18" s="45"/>
      <c r="AH18" s="44"/>
      <c r="AI18" s="44"/>
      <c r="AJ18" s="44"/>
      <c r="AK18" s="45"/>
      <c r="AL18" s="45"/>
      <c r="AM18" s="45"/>
      <c r="AN18" s="45"/>
      <c r="AO18" s="46"/>
      <c r="AP18" s="46"/>
      <c r="AQ18" s="42"/>
      <c r="AR18" s="42"/>
    </row>
    <row r="19">
      <c r="A19" s="55">
        <v>1.3564593E7</v>
      </c>
      <c r="B19" s="50" t="s">
        <v>165</v>
      </c>
      <c r="C19" s="42"/>
      <c r="D19" s="45"/>
      <c r="E19" s="42"/>
      <c r="F19" s="42"/>
      <c r="G19" s="42" t="s">
        <v>57</v>
      </c>
      <c r="H19" s="42" t="s">
        <v>40</v>
      </c>
      <c r="I19" s="46"/>
      <c r="J19" s="47">
        <v>46071.0</v>
      </c>
      <c r="K19" s="13"/>
      <c r="L19" s="48"/>
      <c r="M19" s="15"/>
      <c r="N19" s="34"/>
      <c r="O19" s="42"/>
      <c r="P19" s="42"/>
      <c r="Q19" s="42"/>
      <c r="R19" s="42"/>
      <c r="S19" s="44"/>
      <c r="T19" s="45"/>
      <c r="U19" s="42"/>
      <c r="V19" s="42"/>
      <c r="W19" s="45"/>
      <c r="X19" s="45"/>
      <c r="Y19" s="45"/>
      <c r="Z19" s="45"/>
      <c r="AA19" s="42"/>
      <c r="AB19" s="42"/>
      <c r="AC19" s="45"/>
      <c r="AD19" s="44"/>
      <c r="AE19" s="44"/>
      <c r="AF19" s="44"/>
      <c r="AG19" s="45"/>
      <c r="AH19" s="44"/>
      <c r="AI19" s="44"/>
      <c r="AJ19" s="44"/>
      <c r="AK19" s="45"/>
      <c r="AL19" s="45"/>
      <c r="AM19" s="45"/>
      <c r="AN19" s="45"/>
      <c r="AO19" s="46"/>
      <c r="AP19" s="46"/>
      <c r="AQ19" s="42"/>
      <c r="AR19" s="42"/>
    </row>
    <row r="20">
      <c r="A20" s="56">
        <v>1.3602568E7</v>
      </c>
      <c r="B20" s="43" t="s">
        <v>158</v>
      </c>
      <c r="C20" s="42"/>
      <c r="D20" s="45"/>
      <c r="E20" s="42"/>
      <c r="F20" s="42"/>
      <c r="G20" s="42" t="s">
        <v>57</v>
      </c>
      <c r="H20" s="42" t="s">
        <v>40</v>
      </c>
      <c r="I20" s="46"/>
      <c r="J20" s="47">
        <v>46070.0</v>
      </c>
      <c r="K20" s="13" t="s">
        <v>258</v>
      </c>
      <c r="L20" s="48"/>
      <c r="M20" s="15"/>
      <c r="N20" s="34"/>
      <c r="O20" s="42"/>
      <c r="P20" s="42"/>
      <c r="Q20" s="42"/>
      <c r="R20" s="42"/>
      <c r="S20" s="44"/>
      <c r="T20" s="45"/>
      <c r="U20" s="42"/>
      <c r="V20" s="42"/>
      <c r="W20" s="45"/>
      <c r="X20" s="45"/>
      <c r="Y20" s="45"/>
      <c r="Z20" s="45"/>
      <c r="AA20" s="42"/>
      <c r="AB20" s="42"/>
      <c r="AC20" s="45"/>
      <c r="AD20" s="44"/>
      <c r="AE20" s="44"/>
      <c r="AF20" s="44"/>
      <c r="AG20" s="45"/>
      <c r="AH20" s="44"/>
      <c r="AI20" s="44"/>
      <c r="AJ20" s="44"/>
      <c r="AK20" s="45"/>
      <c r="AL20" s="45"/>
      <c r="AM20" s="45"/>
      <c r="AN20" s="45"/>
      <c r="AO20" s="46"/>
      <c r="AP20" s="46"/>
      <c r="AQ20" s="42"/>
      <c r="AR20" s="42"/>
    </row>
    <row r="21">
      <c r="A21" s="56">
        <v>1.3458063E7</v>
      </c>
      <c r="B21" s="43" t="s">
        <v>221</v>
      </c>
      <c r="C21" s="42"/>
      <c r="D21" s="45"/>
      <c r="E21" s="42"/>
      <c r="F21" s="42"/>
      <c r="G21" s="42" t="s">
        <v>57</v>
      </c>
      <c r="H21" s="42" t="s">
        <v>40</v>
      </c>
      <c r="I21" s="46"/>
      <c r="J21" s="47">
        <v>46058.0</v>
      </c>
      <c r="K21" s="13" t="s">
        <v>267</v>
      </c>
      <c r="L21" s="48">
        <v>5.0</v>
      </c>
      <c r="M21" s="15">
        <v>17248.0</v>
      </c>
      <c r="N21" s="34" t="s">
        <v>269</v>
      </c>
      <c r="O21" s="42"/>
      <c r="P21" s="42"/>
      <c r="Q21" s="42"/>
      <c r="R21" s="42"/>
      <c r="S21" s="44"/>
      <c r="T21" s="45"/>
      <c r="U21" s="42"/>
      <c r="V21" s="42"/>
      <c r="W21" s="45"/>
      <c r="X21" s="45"/>
      <c r="Y21" s="45"/>
      <c r="Z21" s="45"/>
      <c r="AA21" s="42"/>
      <c r="AB21" s="42"/>
      <c r="AC21" s="45"/>
      <c r="AD21" s="44"/>
      <c r="AE21" s="44"/>
      <c r="AF21" s="44"/>
      <c r="AG21" s="45"/>
      <c r="AH21" s="44"/>
      <c r="AI21" s="44"/>
      <c r="AJ21" s="44"/>
      <c r="AK21" s="45"/>
      <c r="AL21" s="45"/>
      <c r="AM21" s="45"/>
      <c r="AN21" s="45"/>
      <c r="AO21" s="46"/>
      <c r="AP21" s="46"/>
      <c r="AQ21" s="42"/>
      <c r="AR21" s="42"/>
    </row>
    <row r="22">
      <c r="A22" s="56">
        <v>1.3506475E7</v>
      </c>
      <c r="B22" s="43" t="s">
        <v>201</v>
      </c>
      <c r="C22" s="42"/>
      <c r="D22" s="45"/>
      <c r="E22" s="42"/>
      <c r="F22" s="42"/>
      <c r="G22" s="42" t="s">
        <v>57</v>
      </c>
      <c r="H22" s="42" t="s">
        <v>40</v>
      </c>
      <c r="I22" s="46"/>
      <c r="J22" s="47">
        <v>46069.0</v>
      </c>
      <c r="K22" s="13" t="s">
        <v>263</v>
      </c>
      <c r="L22" s="48">
        <v>8.0</v>
      </c>
      <c r="M22" s="15">
        <v>13820.0</v>
      </c>
      <c r="N22" s="34" t="s">
        <v>270</v>
      </c>
      <c r="O22" s="42"/>
      <c r="P22" s="42"/>
      <c r="Q22" s="42"/>
      <c r="R22" s="42"/>
      <c r="S22" s="44"/>
      <c r="T22" s="45"/>
      <c r="U22" s="42"/>
      <c r="V22" s="42"/>
      <c r="W22" s="45"/>
      <c r="X22" s="45"/>
      <c r="Y22" s="45"/>
      <c r="Z22" s="45"/>
      <c r="AA22" s="42"/>
      <c r="AB22" s="42"/>
      <c r="AC22" s="45"/>
      <c r="AD22" s="44"/>
      <c r="AE22" s="44"/>
      <c r="AF22" s="44"/>
      <c r="AG22" s="45"/>
      <c r="AH22" s="44"/>
      <c r="AI22" s="44"/>
      <c r="AJ22" s="44"/>
      <c r="AK22" s="45"/>
      <c r="AL22" s="45"/>
      <c r="AM22" s="45"/>
      <c r="AN22" s="45"/>
      <c r="AO22" s="46"/>
      <c r="AP22" s="46"/>
      <c r="AQ22" s="42"/>
      <c r="AR22" s="42"/>
    </row>
    <row r="23">
      <c r="A23" s="56">
        <v>1.3506837E7</v>
      </c>
      <c r="B23" s="43" t="s">
        <v>199</v>
      </c>
      <c r="C23" s="42"/>
      <c r="D23" s="45"/>
      <c r="E23" s="42"/>
      <c r="F23" s="42"/>
      <c r="G23" s="42" t="s">
        <v>57</v>
      </c>
      <c r="H23" s="42" t="s">
        <v>40</v>
      </c>
      <c r="I23" s="46"/>
      <c r="J23" s="47">
        <v>46069.0</v>
      </c>
      <c r="K23" s="13" t="s">
        <v>42</v>
      </c>
      <c r="L23" s="48">
        <v>7.0</v>
      </c>
      <c r="M23" s="15">
        <v>15611.0</v>
      </c>
      <c r="N23" s="34" t="s">
        <v>271</v>
      </c>
      <c r="O23" s="42"/>
      <c r="P23" s="42"/>
      <c r="Q23" s="42"/>
      <c r="R23" s="42"/>
      <c r="S23" s="44"/>
      <c r="T23" s="45"/>
      <c r="U23" s="42"/>
      <c r="V23" s="42"/>
      <c r="W23" s="45"/>
      <c r="X23" s="45"/>
      <c r="Y23" s="45"/>
      <c r="Z23" s="45"/>
      <c r="AA23" s="42"/>
      <c r="AB23" s="42"/>
      <c r="AC23" s="45"/>
      <c r="AD23" s="44"/>
      <c r="AE23" s="44"/>
      <c r="AF23" s="44"/>
      <c r="AG23" s="45"/>
      <c r="AH23" s="44"/>
      <c r="AI23" s="44"/>
      <c r="AJ23" s="44"/>
      <c r="AK23" s="45"/>
      <c r="AL23" s="45"/>
      <c r="AM23" s="45"/>
      <c r="AN23" s="45"/>
      <c r="AO23" s="46"/>
      <c r="AP23" s="46"/>
      <c r="AQ23" s="42"/>
      <c r="AR23" s="42"/>
    </row>
    <row r="24">
      <c r="A24" s="56">
        <v>1.354201E7</v>
      </c>
      <c r="B24" s="43" t="s">
        <v>177</v>
      </c>
      <c r="C24" s="42"/>
      <c r="D24" s="45"/>
      <c r="E24" s="42"/>
      <c r="F24" s="42"/>
      <c r="G24" s="42" t="s">
        <v>57</v>
      </c>
      <c r="H24" s="42" t="s">
        <v>40</v>
      </c>
      <c r="I24" s="46"/>
      <c r="J24" s="47">
        <v>46066.0</v>
      </c>
      <c r="K24" s="13" t="s">
        <v>260</v>
      </c>
      <c r="L24" s="48">
        <v>6.0</v>
      </c>
      <c r="M24" s="15">
        <v>29202.0</v>
      </c>
      <c r="N24" s="34" t="s">
        <v>272</v>
      </c>
      <c r="O24" s="42"/>
      <c r="P24" s="42"/>
      <c r="Q24" s="42"/>
      <c r="R24" s="42"/>
      <c r="S24" s="44"/>
      <c r="T24" s="45"/>
      <c r="U24" s="42"/>
      <c r="V24" s="42"/>
      <c r="W24" s="45"/>
      <c r="X24" s="45"/>
      <c r="Y24" s="45"/>
      <c r="Z24" s="45"/>
      <c r="AA24" s="42"/>
      <c r="AB24" s="42"/>
      <c r="AC24" s="45"/>
      <c r="AD24" s="44"/>
      <c r="AE24" s="44"/>
      <c r="AF24" s="44"/>
      <c r="AG24" s="45"/>
      <c r="AH24" s="44"/>
      <c r="AI24" s="44"/>
      <c r="AJ24" s="44"/>
      <c r="AK24" s="45"/>
      <c r="AL24" s="45"/>
      <c r="AM24" s="45"/>
      <c r="AN24" s="45"/>
      <c r="AO24" s="46"/>
      <c r="AP24" s="46"/>
      <c r="AQ24" s="42"/>
      <c r="AR24" s="42"/>
    </row>
    <row r="25">
      <c r="A25" s="56">
        <v>1.3521747E7</v>
      </c>
      <c r="B25" s="43" t="s">
        <v>195</v>
      </c>
      <c r="C25" s="42"/>
      <c r="D25" s="45"/>
      <c r="E25" s="42"/>
      <c r="F25" s="42"/>
      <c r="G25" s="42" t="s">
        <v>57</v>
      </c>
      <c r="H25" s="42" t="s">
        <v>40</v>
      </c>
      <c r="I25" s="46"/>
      <c r="J25" s="47">
        <v>46066.0</v>
      </c>
      <c r="K25" s="13" t="s">
        <v>267</v>
      </c>
      <c r="L25" s="48">
        <v>0.0</v>
      </c>
      <c r="M25" s="15">
        <v>16468.0</v>
      </c>
      <c r="N25" s="34" t="s">
        <v>273</v>
      </c>
      <c r="O25" s="42"/>
      <c r="P25" s="42"/>
      <c r="Q25" s="42"/>
      <c r="R25" s="42"/>
      <c r="S25" s="44"/>
      <c r="T25" s="45"/>
      <c r="U25" s="42"/>
      <c r="V25" s="42"/>
      <c r="W25" s="45"/>
      <c r="X25" s="45"/>
      <c r="Y25" s="45"/>
      <c r="Z25" s="45"/>
      <c r="AA25" s="42"/>
      <c r="AB25" s="42"/>
      <c r="AC25" s="45"/>
      <c r="AD25" s="44"/>
      <c r="AE25" s="44"/>
      <c r="AF25" s="44"/>
      <c r="AG25" s="45"/>
      <c r="AH25" s="44"/>
      <c r="AI25" s="44"/>
      <c r="AJ25" s="44"/>
      <c r="AK25" s="45"/>
      <c r="AL25" s="45"/>
      <c r="AM25" s="45"/>
      <c r="AN25" s="45"/>
      <c r="AO25" s="46"/>
      <c r="AP25" s="46"/>
      <c r="AQ25" s="42"/>
      <c r="AR25" s="42"/>
    </row>
    <row r="26">
      <c r="A26" s="56">
        <v>1.3540362E7</v>
      </c>
      <c r="B26" s="43" t="s">
        <v>179</v>
      </c>
      <c r="C26" s="42"/>
      <c r="D26" s="45"/>
      <c r="E26" s="42"/>
      <c r="F26" s="42"/>
      <c r="G26" s="42" t="s">
        <v>57</v>
      </c>
      <c r="H26" s="42" t="s">
        <v>40</v>
      </c>
      <c r="I26" s="46"/>
      <c r="J26" s="47">
        <v>46065.0</v>
      </c>
      <c r="K26" s="13" t="s">
        <v>260</v>
      </c>
      <c r="L26" s="48"/>
      <c r="M26" s="15"/>
      <c r="N26" s="34" t="s">
        <v>274</v>
      </c>
      <c r="O26" s="42"/>
      <c r="P26" s="42"/>
      <c r="Q26" s="42"/>
      <c r="R26" s="42"/>
      <c r="S26" s="44"/>
      <c r="T26" s="45"/>
      <c r="U26" s="42"/>
      <c r="V26" s="42"/>
      <c r="W26" s="45"/>
      <c r="X26" s="45"/>
      <c r="Y26" s="45"/>
      <c r="Z26" s="45"/>
      <c r="AA26" s="42"/>
      <c r="AB26" s="42"/>
      <c r="AC26" s="45"/>
      <c r="AD26" s="44"/>
      <c r="AE26" s="44"/>
      <c r="AF26" s="44"/>
      <c r="AG26" s="45"/>
      <c r="AH26" s="44"/>
      <c r="AI26" s="44"/>
      <c r="AJ26" s="44"/>
      <c r="AK26" s="45"/>
      <c r="AL26" s="45"/>
      <c r="AM26" s="45"/>
      <c r="AN26" s="45"/>
      <c r="AO26" s="46"/>
      <c r="AP26" s="46"/>
      <c r="AQ26" s="42"/>
      <c r="AR26" s="42"/>
    </row>
    <row r="27">
      <c r="A27" s="56">
        <v>1.3534946E7</v>
      </c>
      <c r="B27" s="43" t="s">
        <v>41</v>
      </c>
      <c r="C27" s="42"/>
      <c r="D27" s="45"/>
      <c r="E27" s="42"/>
      <c r="F27" s="42"/>
      <c r="G27" s="43" t="s">
        <v>182</v>
      </c>
      <c r="H27" s="42" t="s">
        <v>40</v>
      </c>
      <c r="I27" s="46"/>
      <c r="J27" s="47">
        <v>46065.0</v>
      </c>
      <c r="K27" s="13" t="s">
        <v>42</v>
      </c>
      <c r="L27" s="48">
        <v>10.0</v>
      </c>
      <c r="M27" s="15">
        <v>22000.0</v>
      </c>
      <c r="N27" s="34" t="s">
        <v>275</v>
      </c>
      <c r="O27" s="42"/>
      <c r="P27" s="42"/>
      <c r="Q27" s="42"/>
      <c r="R27" s="42"/>
      <c r="S27" s="44"/>
      <c r="T27" s="45"/>
      <c r="U27" s="42"/>
      <c r="V27" s="42"/>
      <c r="W27" s="45"/>
      <c r="X27" s="45"/>
      <c r="Y27" s="45"/>
      <c r="Z27" s="45"/>
      <c r="AA27" s="42"/>
      <c r="AB27" s="42"/>
      <c r="AC27" s="45"/>
      <c r="AD27" s="44"/>
      <c r="AE27" s="44"/>
      <c r="AF27" s="44"/>
      <c r="AG27" s="45"/>
      <c r="AH27" s="44"/>
      <c r="AI27" s="44"/>
      <c r="AJ27" s="44"/>
      <c r="AK27" s="45"/>
      <c r="AL27" s="45"/>
      <c r="AM27" s="45"/>
      <c r="AN27" s="45"/>
      <c r="AO27" s="46"/>
      <c r="AP27" s="46"/>
      <c r="AQ27" s="42"/>
      <c r="AR27" s="42"/>
    </row>
    <row r="28">
      <c r="A28" s="56">
        <v>1.3518864E7</v>
      </c>
      <c r="B28" s="43" t="s">
        <v>276</v>
      </c>
      <c r="C28" s="42"/>
      <c r="D28" s="45"/>
      <c r="E28" s="42"/>
      <c r="F28" s="42"/>
      <c r="G28" s="42" t="s">
        <v>57</v>
      </c>
      <c r="H28" s="42" t="s">
        <v>40</v>
      </c>
      <c r="I28" s="46"/>
      <c r="J28" s="47">
        <v>46064.0</v>
      </c>
      <c r="K28" s="13" t="s">
        <v>267</v>
      </c>
      <c r="L28" s="48">
        <v>3.0</v>
      </c>
      <c r="M28" s="15">
        <v>16870.0</v>
      </c>
      <c r="N28" s="34" t="s">
        <v>277</v>
      </c>
      <c r="O28" s="42"/>
      <c r="P28" s="42"/>
      <c r="Q28" s="42"/>
      <c r="R28" s="42"/>
      <c r="S28" s="44"/>
      <c r="T28" s="45"/>
      <c r="U28" s="42"/>
      <c r="V28" s="42"/>
      <c r="W28" s="45"/>
      <c r="X28" s="45"/>
      <c r="Y28" s="45"/>
      <c r="Z28" s="45"/>
      <c r="AA28" s="42"/>
      <c r="AB28" s="42"/>
      <c r="AC28" s="45"/>
      <c r="AD28" s="44"/>
      <c r="AE28" s="44"/>
      <c r="AF28" s="44"/>
      <c r="AG28" s="45"/>
      <c r="AH28" s="44"/>
      <c r="AI28" s="44"/>
      <c r="AJ28" s="44"/>
      <c r="AK28" s="45"/>
      <c r="AL28" s="45"/>
      <c r="AM28" s="45"/>
      <c r="AN28" s="45"/>
      <c r="AO28" s="46"/>
      <c r="AP28" s="46"/>
      <c r="AQ28" s="42"/>
      <c r="AR28" s="42"/>
    </row>
    <row r="29">
      <c r="A29" s="56">
        <v>1.3531401E7</v>
      </c>
      <c r="B29" s="43" t="s">
        <v>187</v>
      </c>
      <c r="C29" s="42"/>
      <c r="D29" s="45"/>
      <c r="E29" s="42"/>
      <c r="F29" s="42"/>
      <c r="G29" s="42" t="s">
        <v>57</v>
      </c>
      <c r="H29" s="42" t="s">
        <v>40</v>
      </c>
      <c r="I29" s="46"/>
      <c r="J29" s="57">
        <v>46064.0</v>
      </c>
      <c r="K29" s="13" t="s">
        <v>278</v>
      </c>
      <c r="L29" s="48"/>
      <c r="M29" s="15"/>
      <c r="N29" s="34" t="s">
        <v>279</v>
      </c>
      <c r="O29" s="42"/>
      <c r="P29" s="42"/>
      <c r="Q29" s="42"/>
      <c r="R29" s="42"/>
      <c r="S29" s="44"/>
      <c r="T29" s="45"/>
      <c r="U29" s="42"/>
      <c r="V29" s="42"/>
      <c r="W29" s="45"/>
      <c r="X29" s="45"/>
      <c r="Y29" s="45"/>
      <c r="Z29" s="45"/>
      <c r="AA29" s="42"/>
      <c r="AB29" s="42"/>
      <c r="AC29" s="45"/>
      <c r="AD29" s="44"/>
      <c r="AE29" s="44"/>
      <c r="AF29" s="44"/>
      <c r="AG29" s="45"/>
      <c r="AH29" s="44"/>
      <c r="AI29" s="44"/>
      <c r="AJ29" s="44"/>
      <c r="AK29" s="45"/>
      <c r="AL29" s="45"/>
      <c r="AM29" s="45"/>
      <c r="AN29" s="45"/>
      <c r="AO29" s="46"/>
      <c r="AP29" s="46"/>
      <c r="AQ29" s="42"/>
      <c r="AR29" s="42"/>
    </row>
    <row r="30">
      <c r="A30" s="56">
        <v>1.3497277E7</v>
      </c>
      <c r="B30" s="43" t="s">
        <v>280</v>
      </c>
      <c r="C30" s="42"/>
      <c r="D30" s="45"/>
      <c r="E30" s="42"/>
      <c r="F30" s="42"/>
      <c r="G30" s="42" t="s">
        <v>57</v>
      </c>
      <c r="H30" s="42" t="s">
        <v>40</v>
      </c>
      <c r="I30" s="46"/>
      <c r="J30" s="47">
        <v>46059.0</v>
      </c>
      <c r="K30" s="13" t="s">
        <v>281</v>
      </c>
      <c r="L30" s="48">
        <v>2.0</v>
      </c>
      <c r="M30" s="15">
        <v>6500.0</v>
      </c>
      <c r="N30" s="34" t="s">
        <v>282</v>
      </c>
      <c r="O30" s="42"/>
      <c r="P30" s="42"/>
      <c r="Q30" s="42"/>
      <c r="R30" s="42"/>
      <c r="S30" s="44"/>
      <c r="T30" s="45"/>
      <c r="U30" s="42"/>
      <c r="V30" s="42"/>
      <c r="W30" s="45"/>
      <c r="X30" s="45"/>
      <c r="Y30" s="45"/>
      <c r="Z30" s="45"/>
      <c r="AA30" s="42"/>
      <c r="AB30" s="42"/>
      <c r="AC30" s="45"/>
      <c r="AD30" s="44"/>
      <c r="AE30" s="44"/>
      <c r="AF30" s="44"/>
      <c r="AG30" s="45"/>
      <c r="AH30" s="44"/>
      <c r="AI30" s="44"/>
      <c r="AJ30" s="44"/>
      <c r="AK30" s="45"/>
      <c r="AL30" s="45"/>
      <c r="AM30" s="45"/>
      <c r="AN30" s="45"/>
      <c r="AO30" s="46"/>
      <c r="AP30" s="46"/>
      <c r="AQ30" s="42"/>
      <c r="AR30" s="42"/>
    </row>
    <row r="31">
      <c r="A31" s="44">
        <v>1.3452877E7</v>
      </c>
      <c r="B31" s="43" t="s">
        <v>222</v>
      </c>
      <c r="C31" s="42" t="s">
        <v>223</v>
      </c>
      <c r="D31" s="45"/>
      <c r="E31" s="42" t="s">
        <v>283</v>
      </c>
      <c r="G31" s="42" t="s">
        <v>57</v>
      </c>
      <c r="H31" s="42" t="s">
        <v>40</v>
      </c>
      <c r="I31" s="46">
        <v>46055.45694444444</v>
      </c>
      <c r="J31" s="47">
        <v>46056.0</v>
      </c>
      <c r="K31" s="13" t="s">
        <v>260</v>
      </c>
      <c r="L31" s="48">
        <v>3.0</v>
      </c>
      <c r="M31" s="15">
        <v>17750.0</v>
      </c>
      <c r="N31" s="58" t="s">
        <v>284</v>
      </c>
      <c r="O31" s="42"/>
      <c r="P31" s="42"/>
      <c r="Q31" s="42"/>
      <c r="R31" s="42"/>
      <c r="S31" s="44"/>
      <c r="T31" s="45"/>
      <c r="U31" s="42"/>
      <c r="W31" s="45"/>
      <c r="X31" s="45"/>
      <c r="Y31" s="45"/>
      <c r="Z31" s="45"/>
      <c r="AA31" s="42"/>
      <c r="AC31" s="45"/>
      <c r="AD31" s="44"/>
      <c r="AE31" s="44"/>
      <c r="AF31" s="44"/>
      <c r="AG31" s="45"/>
      <c r="AH31" s="44"/>
      <c r="AI31" s="44"/>
      <c r="AJ31" s="44"/>
      <c r="AK31" s="45"/>
      <c r="AL31" s="45"/>
      <c r="AM31" s="45"/>
      <c r="AN31" s="45"/>
      <c r="AO31" s="46"/>
      <c r="AP31" s="46"/>
      <c r="AQ31" s="42"/>
    </row>
    <row r="32">
      <c r="A32" s="44">
        <v>1.3440218E7</v>
      </c>
      <c r="B32" s="43" t="s">
        <v>224</v>
      </c>
      <c r="C32" s="42" t="s">
        <v>225</v>
      </c>
      <c r="D32" s="45"/>
      <c r="E32" s="42" t="s">
        <v>285</v>
      </c>
      <c r="G32" s="42" t="s">
        <v>57</v>
      </c>
      <c r="H32" s="42" t="s">
        <v>40</v>
      </c>
      <c r="I32" s="46">
        <v>46054.501388888886</v>
      </c>
      <c r="J32" s="47">
        <v>46063.0</v>
      </c>
      <c r="K32" s="13" t="s">
        <v>42</v>
      </c>
      <c r="L32" s="48">
        <v>0.0</v>
      </c>
      <c r="M32" s="26"/>
      <c r="N32" s="13" t="s">
        <v>286</v>
      </c>
      <c r="O32" s="42"/>
      <c r="P32" s="42"/>
      <c r="Q32" s="42"/>
      <c r="R32" s="42"/>
      <c r="S32" s="44"/>
      <c r="T32" s="45"/>
      <c r="U32" s="42"/>
      <c r="W32" s="45"/>
      <c r="X32" s="59"/>
      <c r="Y32" s="45"/>
      <c r="Z32" s="45"/>
      <c r="AA32" s="42"/>
      <c r="AD32" s="44"/>
      <c r="AE32" s="44"/>
      <c r="AF32" s="44"/>
      <c r="AG32" s="45"/>
      <c r="AH32" s="44"/>
      <c r="AI32" s="44"/>
      <c r="AJ32" s="44"/>
      <c r="AK32" s="45"/>
      <c r="AL32" s="45"/>
      <c r="AM32" s="45"/>
      <c r="AN32" s="45"/>
      <c r="AO32" s="46"/>
      <c r="AP32" s="46"/>
      <c r="AQ32" s="42"/>
    </row>
    <row r="33">
      <c r="A33" s="44">
        <v>1.3437357E7</v>
      </c>
      <c r="B33" s="43" t="s">
        <v>230</v>
      </c>
      <c r="C33" s="42" t="s">
        <v>231</v>
      </c>
      <c r="D33" s="45"/>
      <c r="E33" s="43" t="s">
        <v>287</v>
      </c>
      <c r="G33" s="42" t="s">
        <v>57</v>
      </c>
      <c r="H33" s="42" t="s">
        <v>40</v>
      </c>
      <c r="I33" s="46">
        <v>46053.938888888886</v>
      </c>
      <c r="J33" s="47">
        <v>46060.0</v>
      </c>
      <c r="K33" s="13" t="s">
        <v>281</v>
      </c>
      <c r="L33" s="48">
        <v>2.0</v>
      </c>
      <c r="M33" s="15">
        <v>15054.0</v>
      </c>
      <c r="N33" s="58" t="s">
        <v>288</v>
      </c>
      <c r="O33" s="42"/>
      <c r="P33" s="42"/>
      <c r="Q33" s="42"/>
      <c r="R33" s="42"/>
      <c r="S33" s="44"/>
      <c r="T33" s="42"/>
      <c r="U33" s="42"/>
      <c r="W33" s="45"/>
      <c r="X33" s="59"/>
      <c r="Y33" s="45"/>
      <c r="Z33" s="45"/>
      <c r="AA33" s="42"/>
      <c r="AD33" s="44"/>
      <c r="AE33" s="44"/>
      <c r="AF33" s="44"/>
      <c r="AG33" s="45"/>
      <c r="AH33" s="44"/>
      <c r="AI33" s="44"/>
      <c r="AJ33" s="44"/>
      <c r="AK33" s="45"/>
      <c r="AL33" s="45"/>
      <c r="AM33" s="45"/>
      <c r="AN33" s="45"/>
      <c r="AO33" s="46"/>
      <c r="AP33" s="46"/>
      <c r="AQ33" s="42"/>
    </row>
    <row r="34">
      <c r="A34" s="44">
        <v>1.3428065E7</v>
      </c>
      <c r="B34" s="43" t="s">
        <v>234</v>
      </c>
      <c r="C34" s="42" t="s">
        <v>235</v>
      </c>
      <c r="D34" s="45"/>
      <c r="E34" s="42" t="s">
        <v>289</v>
      </c>
      <c r="G34" s="42" t="s">
        <v>57</v>
      </c>
      <c r="H34" s="42" t="s">
        <v>40</v>
      </c>
      <c r="I34" s="46">
        <v>46052.59166666667</v>
      </c>
      <c r="J34" s="47">
        <v>46056.0</v>
      </c>
      <c r="K34" s="13" t="s">
        <v>42</v>
      </c>
      <c r="L34" s="48">
        <v>2.0</v>
      </c>
      <c r="M34" s="15">
        <v>29833.0</v>
      </c>
      <c r="N34" s="58" t="s">
        <v>290</v>
      </c>
      <c r="O34" s="42"/>
      <c r="P34" s="42"/>
      <c r="Q34" s="42"/>
      <c r="R34" s="42"/>
      <c r="S34" s="44"/>
      <c r="T34" s="45"/>
      <c r="U34" s="42"/>
      <c r="W34" s="45"/>
      <c r="X34" s="45"/>
      <c r="Y34" s="45"/>
      <c r="Z34" s="45"/>
      <c r="AA34" s="42"/>
      <c r="AC34" s="45"/>
      <c r="AD34" s="44"/>
      <c r="AE34" s="44"/>
      <c r="AF34" s="44"/>
      <c r="AG34" s="45"/>
      <c r="AH34" s="44"/>
      <c r="AI34" s="44"/>
      <c r="AJ34" s="44"/>
      <c r="AK34" s="45"/>
      <c r="AL34" s="45"/>
      <c r="AM34" s="45"/>
      <c r="AN34" s="45"/>
      <c r="AO34" s="46"/>
      <c r="AP34" s="46"/>
      <c r="AQ34" s="42"/>
    </row>
    <row r="35">
      <c r="A35" s="44">
        <v>1.338763E7</v>
      </c>
      <c r="B35" s="43" t="s">
        <v>240</v>
      </c>
      <c r="C35" s="42" t="s">
        <v>241</v>
      </c>
      <c r="D35" s="45"/>
      <c r="E35" s="42" t="s">
        <v>291</v>
      </c>
      <c r="G35" s="42" t="s">
        <v>101</v>
      </c>
      <c r="H35" s="42" t="s">
        <v>40</v>
      </c>
      <c r="I35" s="46">
        <v>46050.1625</v>
      </c>
      <c r="J35" s="47">
        <v>46051.0</v>
      </c>
      <c r="K35" s="13" t="s">
        <v>42</v>
      </c>
      <c r="L35" s="48">
        <v>2.0</v>
      </c>
      <c r="M35" s="15">
        <v>14900.0</v>
      </c>
      <c r="N35" s="58" t="s">
        <v>292</v>
      </c>
      <c r="O35" s="42"/>
      <c r="P35" s="42"/>
      <c r="Q35" s="42"/>
      <c r="R35" s="42"/>
      <c r="S35" s="44"/>
      <c r="T35" s="45"/>
      <c r="U35" s="45"/>
      <c r="V35" s="45"/>
      <c r="W35" s="59"/>
      <c r="X35" s="45"/>
      <c r="Y35" s="45"/>
      <c r="Z35" s="45"/>
      <c r="AA35" s="42"/>
      <c r="AC35" s="45"/>
      <c r="AD35" s="44"/>
      <c r="AE35" s="44"/>
      <c r="AF35" s="44"/>
      <c r="AG35" s="45"/>
      <c r="AH35" s="44"/>
      <c r="AI35" s="44"/>
      <c r="AJ35" s="44"/>
      <c r="AK35" s="42"/>
      <c r="AL35" s="45"/>
      <c r="AM35" s="42"/>
      <c r="AN35" s="45"/>
      <c r="AO35" s="46"/>
      <c r="AP35" s="46"/>
      <c r="AQ35" s="42"/>
    </row>
    <row r="36">
      <c r="A36" s="44">
        <v>1.3360488E7</v>
      </c>
      <c r="B36" s="43" t="s">
        <v>244</v>
      </c>
      <c r="C36" s="42" t="s">
        <v>245</v>
      </c>
      <c r="D36" s="45"/>
      <c r="E36" s="42" t="s">
        <v>293</v>
      </c>
      <c r="G36" s="42" t="s">
        <v>57</v>
      </c>
      <c r="H36" s="42" t="s">
        <v>40</v>
      </c>
      <c r="I36" s="46">
        <v>46048.82013888889</v>
      </c>
      <c r="J36" s="47">
        <v>46052.0</v>
      </c>
      <c r="K36" s="60" t="s">
        <v>42</v>
      </c>
      <c r="L36" s="48">
        <v>1.0</v>
      </c>
      <c r="M36" s="15">
        <v>21992.0</v>
      </c>
      <c r="N36" s="58" t="s">
        <v>294</v>
      </c>
      <c r="O36" s="42"/>
      <c r="P36" s="42"/>
      <c r="Q36" s="42"/>
      <c r="R36" s="42"/>
      <c r="S36" s="44"/>
      <c r="T36" s="45"/>
      <c r="U36" s="42"/>
      <c r="W36" s="59"/>
      <c r="X36" s="45"/>
      <c r="Y36" s="45"/>
      <c r="Z36" s="45"/>
      <c r="AA36" s="42"/>
      <c r="AD36" s="44"/>
      <c r="AE36" s="44"/>
      <c r="AF36" s="44"/>
      <c r="AG36" s="45"/>
      <c r="AH36" s="44"/>
      <c r="AI36" s="44"/>
      <c r="AJ36" s="44"/>
      <c r="AK36" s="45"/>
      <c r="AL36" s="45"/>
      <c r="AM36" s="45"/>
      <c r="AN36" s="45"/>
      <c r="AO36" s="46"/>
      <c r="AP36" s="46"/>
      <c r="AQ36" s="42"/>
    </row>
  </sheetData>
  <mergeCells count="23">
    <mergeCell ref="E31:F31"/>
    <mergeCell ref="U31:V31"/>
    <mergeCell ref="AA31:AB31"/>
    <mergeCell ref="AQ31:AR31"/>
    <mergeCell ref="U32:V32"/>
    <mergeCell ref="AA32:AC32"/>
    <mergeCell ref="AQ32:AR32"/>
    <mergeCell ref="AQ33:AR33"/>
    <mergeCell ref="AQ34:AR34"/>
    <mergeCell ref="AQ35:AR35"/>
    <mergeCell ref="AQ36:AR36"/>
    <mergeCell ref="AA34:AB34"/>
    <mergeCell ref="AA35:AB35"/>
    <mergeCell ref="U34:V34"/>
    <mergeCell ref="U36:V36"/>
    <mergeCell ref="E32:F32"/>
    <mergeCell ref="E33:F33"/>
    <mergeCell ref="U33:V33"/>
    <mergeCell ref="AA33:AC33"/>
    <mergeCell ref="E34:F34"/>
    <mergeCell ref="E35:F35"/>
    <mergeCell ref="E36:F36"/>
    <mergeCell ref="AA36:AC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15.75"/>
  </cols>
  <sheetData>
    <row r="1">
      <c r="A1" s="61" t="s">
        <v>295</v>
      </c>
      <c r="B1" s="61" t="s">
        <v>296</v>
      </c>
      <c r="C1" s="61" t="s">
        <v>297</v>
      </c>
      <c r="D1" s="61" t="s">
        <v>298</v>
      </c>
      <c r="E1" s="61" t="s">
        <v>299</v>
      </c>
    </row>
    <row r="2">
      <c r="A2" s="13" t="s">
        <v>16</v>
      </c>
      <c r="B2" s="14"/>
      <c r="C2" s="14"/>
      <c r="D2" s="62" t="str">
        <f t="shared" ref="D2:D9" si="1">C2/B2</f>
        <v>#DIV/0!</v>
      </c>
      <c r="E2" s="63">
        <v>0.0</v>
      </c>
    </row>
    <row r="3">
      <c r="A3" s="13" t="s">
        <v>17</v>
      </c>
      <c r="B3" s="14"/>
      <c r="C3" s="14"/>
      <c r="D3" s="62" t="str">
        <f t="shared" si="1"/>
        <v>#DIV/0!</v>
      </c>
      <c r="E3" s="63">
        <v>0.0</v>
      </c>
    </row>
    <row r="4">
      <c r="A4" s="13" t="s">
        <v>18</v>
      </c>
      <c r="B4" s="14"/>
      <c r="C4" s="14"/>
      <c r="D4" s="62" t="str">
        <f t="shared" si="1"/>
        <v>#DIV/0!</v>
      </c>
      <c r="E4" s="63">
        <v>0.0</v>
      </c>
    </row>
    <row r="5">
      <c r="A5" s="13" t="s">
        <v>19</v>
      </c>
      <c r="B5" s="14"/>
      <c r="C5" s="14"/>
      <c r="D5" s="62" t="str">
        <f t="shared" si="1"/>
        <v>#DIV/0!</v>
      </c>
      <c r="E5" s="63">
        <v>0.0</v>
      </c>
    </row>
    <row r="6">
      <c r="A6" s="13" t="s">
        <v>20</v>
      </c>
      <c r="B6" s="14"/>
      <c r="C6" s="14"/>
      <c r="D6" s="62" t="str">
        <f t="shared" si="1"/>
        <v>#DIV/0!</v>
      </c>
      <c r="E6" s="63">
        <v>0.0</v>
      </c>
    </row>
    <row r="7">
      <c r="A7" s="13" t="s">
        <v>21</v>
      </c>
      <c r="B7" s="14"/>
      <c r="C7" s="14"/>
      <c r="D7" s="62" t="str">
        <f t="shared" si="1"/>
        <v>#DIV/0!</v>
      </c>
      <c r="E7" s="63">
        <v>0.0</v>
      </c>
    </row>
    <row r="8">
      <c r="A8" s="13" t="s">
        <v>22</v>
      </c>
      <c r="B8" s="14"/>
      <c r="C8" s="14"/>
      <c r="D8" s="62" t="str">
        <f t="shared" si="1"/>
        <v>#DIV/0!</v>
      </c>
      <c r="E8" s="63">
        <v>0.0</v>
      </c>
    </row>
    <row r="9">
      <c r="A9" s="13" t="s">
        <v>23</v>
      </c>
      <c r="B9" s="14"/>
      <c r="C9" s="14"/>
      <c r="D9" s="62" t="str">
        <f t="shared" si="1"/>
        <v>#DIV/0!</v>
      </c>
      <c r="E9" s="63">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3" width="17.5"/>
  </cols>
  <sheetData>
    <row r="1">
      <c r="A1" s="64" t="s">
        <v>45</v>
      </c>
      <c r="B1" s="64" t="s">
        <v>300</v>
      </c>
      <c r="C1" s="64" t="s">
        <v>301</v>
      </c>
      <c r="D1" s="64" t="s">
        <v>302</v>
      </c>
      <c r="E1" s="64" t="s">
        <v>303</v>
      </c>
    </row>
    <row r="2">
      <c r="A2" s="65"/>
      <c r="B2" s="66"/>
      <c r="C2" s="66"/>
      <c r="D2" s="67"/>
      <c r="E2" s="65"/>
    </row>
    <row r="3">
      <c r="A3" s="65"/>
      <c r="B3" s="66"/>
      <c r="C3" s="66"/>
      <c r="D3" s="67"/>
      <c r="E3" s="65"/>
    </row>
    <row r="4">
      <c r="A4" s="65"/>
      <c r="B4" s="66"/>
      <c r="C4" s="66"/>
      <c r="D4" s="67"/>
      <c r="E4" s="65"/>
    </row>
    <row r="5">
      <c r="A5" s="65"/>
      <c r="B5" s="66"/>
      <c r="C5" s="66"/>
      <c r="D5" s="67"/>
      <c r="E5" s="65"/>
    </row>
    <row r="6">
      <c r="A6" s="65"/>
      <c r="B6" s="66"/>
      <c r="C6" s="66"/>
      <c r="D6" s="67"/>
      <c r="E6" s="65"/>
    </row>
    <row r="7">
      <c r="A7" s="65"/>
      <c r="B7" s="66"/>
      <c r="C7" s="66"/>
      <c r="D7" s="67"/>
      <c r="E7" s="65"/>
    </row>
    <row r="8">
      <c r="A8" s="65"/>
      <c r="B8" s="66"/>
      <c r="C8" s="66"/>
      <c r="D8" s="67"/>
      <c r="E8" s="65"/>
    </row>
    <row r="9">
      <c r="A9" s="65"/>
      <c r="B9" s="66"/>
      <c r="C9" s="66"/>
      <c r="D9" s="67"/>
      <c r="E9" s="65"/>
    </row>
    <row r="10">
      <c r="A10" s="65"/>
      <c r="B10" s="66"/>
      <c r="C10" s="66"/>
      <c r="D10" s="67"/>
      <c r="E10" s="65"/>
    </row>
    <row r="11">
      <c r="A11" s="65"/>
      <c r="B11" s="66"/>
      <c r="C11" s="66"/>
      <c r="D11" s="67"/>
      <c r="E11" s="65"/>
    </row>
    <row r="12">
      <c r="A12" s="65"/>
      <c r="B12" s="66"/>
      <c r="C12" s="66"/>
      <c r="D12" s="67"/>
      <c r="E12" s="65"/>
    </row>
    <row r="13">
      <c r="A13" s="65"/>
      <c r="B13" s="66"/>
      <c r="C13" s="66"/>
      <c r="D13" s="67"/>
      <c r="E13" s="65"/>
    </row>
    <row r="14">
      <c r="A14" s="65"/>
      <c r="B14" s="66"/>
      <c r="C14" s="66"/>
      <c r="D14" s="67"/>
      <c r="E14" s="65"/>
    </row>
    <row r="15">
      <c r="A15" s="65"/>
      <c r="B15" s="66"/>
      <c r="C15" s="66"/>
      <c r="D15" s="67"/>
      <c r="E15" s="65"/>
    </row>
    <row r="16">
      <c r="A16" s="65"/>
      <c r="B16" s="66"/>
      <c r="C16" s="66"/>
      <c r="D16" s="67"/>
      <c r="E16" s="65"/>
    </row>
    <row r="17">
      <c r="A17" s="65"/>
      <c r="B17" s="66"/>
      <c r="C17" s="66"/>
      <c r="D17" s="67"/>
      <c r="E17" s="65"/>
    </row>
    <row r="18">
      <c r="A18" s="65"/>
      <c r="B18" s="66"/>
      <c r="C18" s="66"/>
      <c r="D18" s="67"/>
      <c r="E18" s="65"/>
    </row>
    <row r="19">
      <c r="A19" s="65"/>
      <c r="B19" s="66"/>
      <c r="C19" s="66"/>
      <c r="D19" s="67"/>
      <c r="E19" s="65"/>
    </row>
    <row r="20">
      <c r="A20" s="65"/>
      <c r="B20" s="66"/>
      <c r="C20" s="66"/>
      <c r="D20" s="67"/>
      <c r="E20" s="65"/>
    </row>
    <row r="21">
      <c r="A21" s="65"/>
      <c r="B21" s="66"/>
      <c r="C21" s="66"/>
      <c r="D21" s="67"/>
      <c r="E21" s="65"/>
    </row>
    <row r="22">
      <c r="A22" s="65"/>
      <c r="B22" s="66"/>
      <c r="C22" s="66"/>
      <c r="D22" s="67"/>
      <c r="E22" s="65"/>
    </row>
    <row r="23">
      <c r="A23" s="65"/>
      <c r="B23" s="66"/>
      <c r="C23" s="66"/>
      <c r="D23" s="67"/>
      <c r="E23" s="65"/>
    </row>
    <row r="24">
      <c r="A24" s="65"/>
      <c r="B24" s="66"/>
      <c r="C24" s="66"/>
      <c r="D24" s="67"/>
      <c r="E24" s="65"/>
    </row>
    <row r="25">
      <c r="A25" s="65"/>
      <c r="B25" s="66"/>
      <c r="C25" s="66"/>
      <c r="D25" s="67"/>
      <c r="E25" s="65"/>
    </row>
    <row r="26">
      <c r="A26" s="65"/>
      <c r="B26" s="66"/>
      <c r="C26" s="66"/>
      <c r="D26" s="67"/>
      <c r="E26" s="65"/>
    </row>
    <row r="27">
      <c r="A27" s="65"/>
      <c r="B27" s="66"/>
      <c r="C27" s="66"/>
      <c r="D27" s="67"/>
      <c r="E27" s="65"/>
    </row>
    <row r="28">
      <c r="A28" s="65"/>
      <c r="B28" s="66"/>
      <c r="C28" s="66"/>
      <c r="D28" s="67"/>
      <c r="E28" s="65"/>
    </row>
    <row r="29">
      <c r="A29" s="65"/>
      <c r="B29" s="66"/>
      <c r="C29" s="66"/>
      <c r="D29" s="67"/>
      <c r="E29" s="65"/>
    </row>
    <row r="30">
      <c r="A30" s="65"/>
      <c r="B30" s="66"/>
      <c r="C30" s="66"/>
      <c r="D30" s="67"/>
      <c r="E30" s="65"/>
    </row>
    <row r="31">
      <c r="A31" s="65"/>
      <c r="B31" s="66"/>
      <c r="C31" s="66"/>
      <c r="D31" s="67"/>
      <c r="E31" s="65"/>
    </row>
    <row r="32">
      <c r="A32" s="65"/>
      <c r="B32" s="66"/>
      <c r="C32" s="66"/>
      <c r="D32" s="67"/>
      <c r="E32" s="65"/>
    </row>
    <row r="33">
      <c r="A33" s="65"/>
      <c r="B33" s="66"/>
      <c r="C33" s="66"/>
      <c r="D33" s="67"/>
      <c r="E33" s="65"/>
    </row>
    <row r="34">
      <c r="A34" s="65"/>
      <c r="B34" s="66"/>
      <c r="C34" s="66"/>
      <c r="D34" s="67"/>
      <c r="E34" s="65"/>
    </row>
    <row r="35">
      <c r="A35" s="65"/>
      <c r="B35" s="66"/>
      <c r="C35" s="66"/>
      <c r="D35" s="67"/>
      <c r="E35" s="65"/>
    </row>
    <row r="36">
      <c r="A36" s="65"/>
      <c r="B36" s="66"/>
      <c r="C36" s="66"/>
      <c r="D36" s="67"/>
      <c r="E36" s="65"/>
    </row>
    <row r="37">
      <c r="A37" s="65"/>
      <c r="B37" s="66"/>
      <c r="C37" s="66"/>
      <c r="D37" s="67"/>
      <c r="E37" s="65"/>
    </row>
    <row r="38">
      <c r="A38" s="65"/>
      <c r="B38" s="66"/>
      <c r="C38" s="66"/>
      <c r="D38" s="67"/>
      <c r="E38" s="65"/>
    </row>
    <row r="39">
      <c r="A39" s="65"/>
      <c r="B39" s="66"/>
      <c r="C39" s="66"/>
      <c r="D39" s="67"/>
      <c r="E39" s="65"/>
    </row>
    <row r="40">
      <c r="A40" s="65"/>
      <c r="B40" s="66"/>
      <c r="C40" s="66"/>
      <c r="D40" s="67"/>
      <c r="E40" s="65"/>
    </row>
    <row r="41">
      <c r="A41" s="65"/>
      <c r="B41" s="66"/>
      <c r="C41" s="66"/>
      <c r="D41" s="67"/>
      <c r="E41" s="65"/>
    </row>
    <row r="42">
      <c r="A42" s="65"/>
      <c r="B42" s="66"/>
      <c r="C42" s="66"/>
      <c r="D42" s="67"/>
      <c r="E42" s="65"/>
    </row>
    <row r="43">
      <c r="A43" s="65"/>
      <c r="B43" s="66"/>
      <c r="C43" s="66"/>
      <c r="D43" s="67"/>
      <c r="E43" s="65"/>
    </row>
    <row r="44">
      <c r="A44" s="65"/>
      <c r="B44" s="66"/>
      <c r="C44" s="66"/>
      <c r="D44" s="67"/>
      <c r="E44" s="65"/>
    </row>
    <row r="45">
      <c r="A45" s="65"/>
      <c r="B45" s="66"/>
      <c r="C45" s="66"/>
      <c r="D45" s="67"/>
      <c r="E45" s="65"/>
    </row>
    <row r="46">
      <c r="A46" s="65"/>
      <c r="B46" s="66"/>
      <c r="C46" s="66"/>
      <c r="D46" s="67"/>
      <c r="E46" s="65"/>
    </row>
    <row r="47">
      <c r="A47" s="65"/>
      <c r="B47" s="66"/>
      <c r="C47" s="66"/>
      <c r="D47" s="67"/>
      <c r="E47" s="65"/>
    </row>
    <row r="48">
      <c r="A48" s="65"/>
      <c r="B48" s="66"/>
      <c r="C48" s="66"/>
      <c r="D48" s="67"/>
      <c r="E48" s="65"/>
    </row>
    <row r="49">
      <c r="A49" s="65"/>
      <c r="B49" s="66"/>
      <c r="C49" s="66"/>
      <c r="D49" s="67"/>
      <c r="E49" s="65"/>
    </row>
    <row r="50">
      <c r="A50" s="65"/>
      <c r="B50" s="66"/>
      <c r="C50" s="66"/>
      <c r="D50" s="67"/>
      <c r="E50" s="65"/>
    </row>
    <row r="51">
      <c r="A51" s="65"/>
      <c r="B51" s="66"/>
      <c r="C51" s="66"/>
      <c r="D51" s="67"/>
      <c r="E51" s="65"/>
    </row>
    <row r="52">
      <c r="A52" s="65"/>
      <c r="B52" s="66"/>
      <c r="C52" s="66"/>
      <c r="D52" s="67"/>
      <c r="E52" s="65"/>
    </row>
    <row r="53">
      <c r="A53" s="65"/>
      <c r="B53" s="66"/>
      <c r="C53" s="66"/>
      <c r="D53" s="67"/>
      <c r="E53" s="65"/>
    </row>
    <row r="54">
      <c r="A54" s="65"/>
      <c r="B54" s="66"/>
      <c r="C54" s="66"/>
      <c r="D54" s="67"/>
      <c r="E54" s="65"/>
    </row>
    <row r="55">
      <c r="A55" s="65"/>
      <c r="B55" s="66"/>
      <c r="C55" s="66"/>
      <c r="D55" s="67"/>
      <c r="E55" s="65"/>
    </row>
    <row r="56">
      <c r="A56" s="65"/>
      <c r="B56" s="66"/>
      <c r="C56" s="66"/>
      <c r="D56" s="67"/>
      <c r="E56" s="65"/>
    </row>
    <row r="57">
      <c r="A57" s="65"/>
      <c r="B57" s="66"/>
      <c r="C57" s="66"/>
      <c r="D57" s="67"/>
      <c r="E57" s="65"/>
    </row>
    <row r="58">
      <c r="A58" s="65"/>
      <c r="B58" s="66"/>
      <c r="C58" s="66"/>
      <c r="D58" s="67"/>
      <c r="E58" s="65"/>
    </row>
    <row r="59">
      <c r="A59" s="65"/>
      <c r="B59" s="66"/>
      <c r="C59" s="66"/>
      <c r="D59" s="67"/>
      <c r="E59" s="65"/>
    </row>
    <row r="60">
      <c r="A60" s="65"/>
      <c r="B60" s="66"/>
      <c r="C60" s="66"/>
      <c r="D60" s="67"/>
      <c r="E60" s="65"/>
    </row>
    <row r="61">
      <c r="A61" s="65"/>
      <c r="B61" s="66"/>
      <c r="C61" s="66"/>
      <c r="D61" s="67"/>
      <c r="E61" s="65"/>
    </row>
    <row r="62">
      <c r="A62" s="65"/>
      <c r="B62" s="66"/>
      <c r="C62" s="66"/>
      <c r="D62" s="67"/>
      <c r="E62" s="65"/>
    </row>
    <row r="63">
      <c r="A63" s="65"/>
      <c r="B63" s="66"/>
      <c r="C63" s="66"/>
      <c r="D63" s="67"/>
      <c r="E63" s="65"/>
    </row>
    <row r="64">
      <c r="A64" s="65"/>
      <c r="B64" s="66"/>
      <c r="C64" s="66"/>
      <c r="D64" s="67"/>
      <c r="E64" s="65"/>
    </row>
    <row r="65">
      <c r="A65" s="65"/>
      <c r="B65" s="66"/>
      <c r="C65" s="66"/>
      <c r="D65" s="67"/>
      <c r="E65" s="65"/>
    </row>
    <row r="66">
      <c r="A66" s="65"/>
      <c r="B66" s="66"/>
      <c r="C66" s="66"/>
      <c r="D66" s="67"/>
      <c r="E66" s="65"/>
    </row>
    <row r="67">
      <c r="A67" s="65"/>
      <c r="B67" s="66"/>
      <c r="C67" s="66"/>
      <c r="D67" s="67"/>
      <c r="E67" s="65"/>
    </row>
    <row r="68">
      <c r="A68" s="65"/>
      <c r="B68" s="66"/>
      <c r="C68" s="66"/>
      <c r="D68" s="67"/>
      <c r="E68" s="65"/>
    </row>
    <row r="69">
      <c r="A69" s="65"/>
      <c r="B69" s="66"/>
      <c r="C69" s="66"/>
      <c r="D69" s="67"/>
      <c r="E69" s="65"/>
    </row>
    <row r="70">
      <c r="A70" s="65"/>
      <c r="B70" s="66"/>
      <c r="C70" s="66"/>
      <c r="D70" s="67"/>
      <c r="E70" s="65"/>
    </row>
    <row r="71">
      <c r="A71" s="65"/>
      <c r="B71" s="66"/>
      <c r="C71" s="66"/>
      <c r="D71" s="67"/>
      <c r="E71" s="65"/>
    </row>
    <row r="72">
      <c r="A72" s="65"/>
      <c r="B72" s="66"/>
      <c r="C72" s="66"/>
      <c r="D72" s="67"/>
      <c r="E72" s="65"/>
    </row>
    <row r="73">
      <c r="A73" s="65"/>
      <c r="B73" s="66"/>
      <c r="C73" s="66"/>
      <c r="D73" s="67"/>
      <c r="E73" s="65"/>
    </row>
    <row r="74">
      <c r="A74" s="65"/>
      <c r="B74" s="66"/>
      <c r="C74" s="66"/>
      <c r="D74" s="67"/>
      <c r="E74" s="65"/>
    </row>
    <row r="75">
      <c r="A75" s="65"/>
      <c r="B75" s="66"/>
      <c r="C75" s="66"/>
      <c r="D75" s="67"/>
      <c r="E75" s="65"/>
    </row>
    <row r="76">
      <c r="A76" s="65"/>
      <c r="B76" s="66"/>
      <c r="C76" s="66"/>
      <c r="D76" s="67"/>
      <c r="E76" s="65"/>
    </row>
    <row r="77">
      <c r="A77" s="65"/>
      <c r="B77" s="66"/>
      <c r="C77" s="66"/>
      <c r="D77" s="67"/>
      <c r="E77" s="65"/>
    </row>
    <row r="78">
      <c r="A78" s="65"/>
      <c r="B78" s="66"/>
      <c r="C78" s="66"/>
      <c r="D78" s="67"/>
      <c r="E78" s="65"/>
    </row>
    <row r="79">
      <c r="A79" s="65"/>
      <c r="B79" s="66"/>
      <c r="C79" s="66"/>
      <c r="D79" s="67"/>
      <c r="E79" s="65"/>
    </row>
    <row r="80">
      <c r="A80" s="65"/>
      <c r="B80" s="66"/>
      <c r="C80" s="66"/>
      <c r="D80" s="67"/>
      <c r="E80" s="65"/>
    </row>
    <row r="81">
      <c r="A81" s="65"/>
      <c r="B81" s="66"/>
      <c r="C81" s="66"/>
      <c r="D81" s="67"/>
      <c r="E81" s="65"/>
    </row>
    <row r="82">
      <c r="A82" s="65"/>
      <c r="B82" s="66"/>
      <c r="C82" s="66"/>
      <c r="D82" s="67"/>
      <c r="E82" s="65"/>
    </row>
    <row r="83">
      <c r="A83" s="65"/>
      <c r="B83" s="66"/>
      <c r="C83" s="66"/>
      <c r="D83" s="67"/>
      <c r="E83" s="65"/>
    </row>
    <row r="84">
      <c r="A84" s="65"/>
      <c r="B84" s="66"/>
      <c r="C84" s="66"/>
      <c r="D84" s="67"/>
      <c r="E84" s="65"/>
    </row>
    <row r="85">
      <c r="A85" s="65"/>
      <c r="B85" s="66"/>
      <c r="C85" s="66"/>
      <c r="D85" s="67"/>
      <c r="E85" s="65"/>
    </row>
    <row r="86">
      <c r="A86" s="65"/>
      <c r="B86" s="66"/>
      <c r="C86" s="66"/>
      <c r="D86" s="67"/>
      <c r="E86" s="65"/>
    </row>
    <row r="87">
      <c r="A87" s="65"/>
      <c r="B87" s="66"/>
      <c r="C87" s="66"/>
      <c r="D87" s="67"/>
      <c r="E87" s="65"/>
    </row>
    <row r="88">
      <c r="A88" s="65"/>
      <c r="B88" s="66"/>
      <c r="C88" s="66"/>
      <c r="D88" s="67"/>
      <c r="E88" s="65"/>
    </row>
    <row r="89">
      <c r="A89" s="65"/>
      <c r="B89" s="66"/>
      <c r="C89" s="66"/>
      <c r="D89" s="67"/>
      <c r="E89" s="65"/>
    </row>
    <row r="90">
      <c r="A90" s="65"/>
      <c r="B90" s="66"/>
      <c r="C90" s="66"/>
      <c r="D90" s="67"/>
      <c r="E90" s="65"/>
    </row>
    <row r="91">
      <c r="A91" s="65"/>
      <c r="B91" s="66"/>
      <c r="C91" s="66"/>
      <c r="D91" s="67"/>
      <c r="E91" s="65"/>
    </row>
    <row r="92">
      <c r="A92" s="65"/>
      <c r="B92" s="66"/>
      <c r="C92" s="66"/>
      <c r="D92" s="67"/>
      <c r="E92" s="65"/>
    </row>
    <row r="93">
      <c r="A93" s="65"/>
      <c r="B93" s="66"/>
      <c r="C93" s="66"/>
      <c r="D93" s="67"/>
      <c r="E93" s="65"/>
    </row>
    <row r="94">
      <c r="A94" s="65"/>
      <c r="B94" s="66"/>
      <c r="C94" s="66"/>
      <c r="D94" s="67"/>
      <c r="E94" s="65"/>
    </row>
    <row r="95">
      <c r="A95" s="65"/>
      <c r="B95" s="66"/>
      <c r="C95" s="66"/>
      <c r="D95" s="67"/>
      <c r="E95" s="65"/>
    </row>
    <row r="96">
      <c r="A96" s="65"/>
      <c r="B96" s="66"/>
      <c r="C96" s="66"/>
      <c r="D96" s="67"/>
      <c r="E96" s="65"/>
    </row>
    <row r="97">
      <c r="A97" s="65"/>
      <c r="B97" s="66"/>
      <c r="C97" s="66"/>
      <c r="D97" s="67"/>
      <c r="E97" s="65"/>
    </row>
    <row r="98">
      <c r="A98" s="65"/>
      <c r="B98" s="66"/>
      <c r="C98" s="66"/>
      <c r="D98" s="67"/>
      <c r="E98" s="65"/>
    </row>
    <row r="99">
      <c r="A99" s="65"/>
      <c r="B99" s="66"/>
      <c r="C99" s="66"/>
      <c r="D99" s="67"/>
      <c r="E99" s="65"/>
    </row>
    <row r="100">
      <c r="A100" s="65"/>
      <c r="B100" s="66"/>
      <c r="C100" s="66"/>
      <c r="D100" s="67"/>
      <c r="E100" s="65"/>
    </row>
    <row r="101">
      <c r="A101" s="65"/>
      <c r="B101" s="66"/>
      <c r="C101" s="66"/>
      <c r="D101" s="67"/>
      <c r="E101" s="65"/>
    </row>
    <row r="102">
      <c r="A102" s="65"/>
      <c r="B102" s="66"/>
      <c r="C102" s="66"/>
      <c r="D102" s="67"/>
      <c r="E102" s="65"/>
    </row>
    <row r="103">
      <c r="A103" s="65"/>
      <c r="B103" s="66"/>
      <c r="C103" s="66"/>
      <c r="D103" s="67"/>
      <c r="E103" s="65"/>
    </row>
    <row r="104">
      <c r="A104" s="65"/>
      <c r="B104" s="66"/>
      <c r="C104" s="66"/>
      <c r="D104" s="67"/>
      <c r="E104" s="65"/>
    </row>
    <row r="105">
      <c r="A105" s="65"/>
      <c r="B105" s="66"/>
      <c r="C105" s="66"/>
      <c r="D105" s="67"/>
      <c r="E105" s="65"/>
    </row>
    <row r="106">
      <c r="A106" s="65"/>
      <c r="B106" s="66"/>
      <c r="C106" s="66"/>
      <c r="D106" s="67"/>
      <c r="E106" s="65"/>
    </row>
    <row r="107">
      <c r="A107" s="65"/>
      <c r="B107" s="66"/>
      <c r="C107" s="66"/>
      <c r="D107" s="67"/>
      <c r="E107" s="65"/>
    </row>
    <row r="108">
      <c r="A108" s="65"/>
      <c r="B108" s="66"/>
      <c r="C108" s="66"/>
      <c r="D108" s="67"/>
      <c r="E108" s="65"/>
    </row>
    <row r="109">
      <c r="A109" s="65"/>
      <c r="B109" s="66"/>
      <c r="C109" s="66"/>
      <c r="D109" s="67"/>
      <c r="E109" s="65"/>
    </row>
    <row r="110">
      <c r="A110" s="65"/>
      <c r="B110" s="66"/>
      <c r="C110" s="66"/>
      <c r="D110" s="67"/>
      <c r="E110" s="65"/>
    </row>
    <row r="111">
      <c r="A111" s="65"/>
      <c r="B111" s="66"/>
      <c r="C111" s="66"/>
      <c r="D111" s="67"/>
      <c r="E111" s="65"/>
    </row>
    <row r="112">
      <c r="A112" s="65"/>
      <c r="B112" s="66"/>
      <c r="C112" s="66"/>
      <c r="D112" s="67"/>
      <c r="E112" s="65"/>
    </row>
    <row r="113">
      <c r="A113" s="65"/>
      <c r="B113" s="66"/>
      <c r="C113" s="66"/>
      <c r="D113" s="67"/>
      <c r="E113" s="65"/>
    </row>
    <row r="114">
      <c r="A114" s="65"/>
      <c r="B114" s="66"/>
      <c r="C114" s="66"/>
      <c r="D114" s="67"/>
      <c r="E114" s="65"/>
    </row>
    <row r="115">
      <c r="A115" s="65"/>
      <c r="B115" s="66"/>
      <c r="C115" s="66"/>
      <c r="D115" s="67"/>
      <c r="E115" s="65"/>
    </row>
    <row r="116">
      <c r="A116" s="65"/>
      <c r="B116" s="66"/>
      <c r="C116" s="66"/>
      <c r="D116" s="67"/>
      <c r="E116" s="65"/>
    </row>
    <row r="117">
      <c r="A117" s="65"/>
      <c r="B117" s="66"/>
      <c r="C117" s="66"/>
      <c r="D117" s="67"/>
      <c r="E117" s="65"/>
    </row>
    <row r="118">
      <c r="A118" s="65"/>
      <c r="B118" s="66"/>
      <c r="C118" s="66"/>
      <c r="D118" s="67"/>
      <c r="E118" s="65"/>
    </row>
    <row r="119">
      <c r="A119" s="65"/>
      <c r="B119" s="66"/>
      <c r="C119" s="66"/>
      <c r="D119" s="67"/>
      <c r="E119" s="65"/>
    </row>
    <row r="120">
      <c r="A120" s="65"/>
      <c r="B120" s="66"/>
      <c r="C120" s="66"/>
      <c r="D120" s="67"/>
      <c r="E120" s="65"/>
    </row>
    <row r="121">
      <c r="A121" s="65"/>
      <c r="B121" s="66"/>
      <c r="C121" s="66"/>
      <c r="D121" s="67"/>
      <c r="E121" s="65"/>
    </row>
    <row r="122">
      <c r="A122" s="65"/>
      <c r="B122" s="66"/>
      <c r="C122" s="66"/>
      <c r="D122" s="67"/>
      <c r="E122" s="65"/>
    </row>
    <row r="123">
      <c r="A123" s="65"/>
      <c r="B123" s="66"/>
      <c r="C123" s="66"/>
      <c r="D123" s="67"/>
      <c r="E123" s="65"/>
    </row>
    <row r="124">
      <c r="A124" s="65"/>
      <c r="B124" s="66"/>
      <c r="C124" s="66"/>
      <c r="D124" s="67"/>
      <c r="E124" s="65"/>
    </row>
    <row r="125">
      <c r="A125" s="65"/>
      <c r="B125" s="66"/>
      <c r="C125" s="66"/>
      <c r="D125" s="67"/>
      <c r="E125" s="65"/>
    </row>
    <row r="126">
      <c r="A126" s="65"/>
      <c r="B126" s="66"/>
      <c r="C126" s="66"/>
      <c r="D126" s="67"/>
      <c r="E126" s="65"/>
    </row>
    <row r="127">
      <c r="A127" s="65"/>
      <c r="B127" s="66"/>
      <c r="C127" s="66"/>
      <c r="D127" s="67"/>
      <c r="E127" s="65"/>
    </row>
    <row r="128">
      <c r="A128" s="65"/>
      <c r="B128" s="66"/>
      <c r="C128" s="66"/>
      <c r="D128" s="67"/>
      <c r="E128" s="65"/>
    </row>
    <row r="129">
      <c r="A129" s="65"/>
      <c r="B129" s="66"/>
      <c r="C129" s="66"/>
      <c r="D129" s="67"/>
      <c r="E129" s="65"/>
    </row>
    <row r="130">
      <c r="A130" s="65"/>
      <c r="B130" s="66"/>
      <c r="C130" s="66"/>
      <c r="D130" s="67"/>
      <c r="E130" s="65"/>
    </row>
    <row r="131">
      <c r="A131" s="65"/>
      <c r="B131" s="66"/>
      <c r="C131" s="66"/>
      <c r="D131" s="67"/>
      <c r="E131" s="65"/>
    </row>
    <row r="132">
      <c r="A132" s="65"/>
      <c r="B132" s="66"/>
      <c r="C132" s="66"/>
      <c r="D132" s="67"/>
      <c r="E132" s="65"/>
    </row>
    <row r="133">
      <c r="A133" s="65"/>
      <c r="B133" s="66"/>
      <c r="C133" s="66"/>
      <c r="D133" s="67"/>
      <c r="E133" s="65"/>
    </row>
    <row r="134">
      <c r="A134" s="65"/>
      <c r="B134" s="66"/>
      <c r="C134" s="66"/>
      <c r="D134" s="67"/>
      <c r="E134" s="65"/>
    </row>
    <row r="135">
      <c r="A135" s="65"/>
      <c r="B135" s="66"/>
      <c r="C135" s="66"/>
      <c r="D135" s="67"/>
      <c r="E135" s="65"/>
    </row>
    <row r="136">
      <c r="A136" s="65"/>
      <c r="B136" s="66"/>
      <c r="C136" s="66"/>
      <c r="D136" s="67"/>
      <c r="E136" s="65"/>
    </row>
    <row r="137">
      <c r="A137" s="65"/>
      <c r="B137" s="66"/>
      <c r="C137" s="66"/>
      <c r="D137" s="67"/>
      <c r="E137" s="65"/>
    </row>
    <row r="138">
      <c r="A138" s="65"/>
      <c r="B138" s="66"/>
      <c r="C138" s="66"/>
      <c r="D138" s="67"/>
      <c r="E138" s="65"/>
    </row>
    <row r="139">
      <c r="A139" s="65"/>
      <c r="B139" s="66"/>
      <c r="C139" s="66"/>
      <c r="D139" s="67"/>
      <c r="E139" s="65"/>
    </row>
    <row r="140">
      <c r="A140" s="65"/>
      <c r="B140" s="66"/>
      <c r="C140" s="66"/>
      <c r="D140" s="67"/>
      <c r="E140" s="65"/>
    </row>
    <row r="141">
      <c r="A141" s="65"/>
      <c r="B141" s="66"/>
      <c r="C141" s="66"/>
      <c r="D141" s="67"/>
      <c r="E141" s="65"/>
    </row>
    <row r="142">
      <c r="A142" s="65"/>
      <c r="B142" s="66"/>
      <c r="C142" s="66"/>
      <c r="D142" s="67"/>
      <c r="E142" s="65"/>
    </row>
    <row r="143">
      <c r="A143" s="65"/>
      <c r="B143" s="66"/>
      <c r="C143" s="66"/>
      <c r="D143" s="67"/>
      <c r="E143" s="65"/>
    </row>
    <row r="144">
      <c r="A144" s="65"/>
      <c r="B144" s="66"/>
      <c r="C144" s="66"/>
      <c r="D144" s="67"/>
      <c r="E144" s="65"/>
    </row>
    <row r="145">
      <c r="A145" s="65"/>
      <c r="B145" s="66"/>
      <c r="C145" s="66"/>
      <c r="D145" s="67"/>
      <c r="E145" s="65"/>
    </row>
    <row r="146">
      <c r="A146" s="65"/>
      <c r="B146" s="66"/>
      <c r="C146" s="66"/>
      <c r="D146" s="67"/>
      <c r="E146" s="65"/>
    </row>
    <row r="147">
      <c r="A147" s="65"/>
      <c r="B147" s="66"/>
      <c r="C147" s="66"/>
      <c r="D147" s="67"/>
      <c r="E147" s="65"/>
    </row>
    <row r="148">
      <c r="A148" s="65"/>
      <c r="B148" s="66"/>
      <c r="C148" s="66"/>
      <c r="D148" s="67"/>
      <c r="E148" s="65"/>
    </row>
    <row r="149">
      <c r="A149" s="65"/>
      <c r="B149" s="66"/>
      <c r="C149" s="66"/>
      <c r="D149" s="67"/>
      <c r="E149" s="65"/>
    </row>
    <row r="150">
      <c r="A150" s="65"/>
      <c r="B150" s="66"/>
      <c r="C150" s="66"/>
      <c r="D150" s="67"/>
      <c r="E150" s="65"/>
    </row>
    <row r="151">
      <c r="A151" s="65"/>
      <c r="B151" s="66"/>
      <c r="C151" s="66"/>
      <c r="D151" s="67"/>
      <c r="E151" s="65"/>
    </row>
    <row r="152">
      <c r="A152" s="65"/>
      <c r="B152" s="66"/>
      <c r="C152" s="66"/>
      <c r="D152" s="67"/>
      <c r="E152" s="65"/>
    </row>
    <row r="153">
      <c r="A153" s="65"/>
      <c r="B153" s="66"/>
      <c r="C153" s="66"/>
      <c r="D153" s="67"/>
      <c r="E153" s="65"/>
    </row>
    <row r="154">
      <c r="A154" s="65"/>
      <c r="B154" s="66"/>
      <c r="C154" s="66"/>
      <c r="D154" s="67"/>
      <c r="E154" s="65"/>
    </row>
    <row r="155">
      <c r="A155" s="65"/>
      <c r="B155" s="66"/>
      <c r="C155" s="66"/>
      <c r="D155" s="67"/>
      <c r="E155" s="65"/>
    </row>
    <row r="156">
      <c r="A156" s="65"/>
      <c r="B156" s="66"/>
      <c r="C156" s="66"/>
      <c r="D156" s="67"/>
      <c r="E156" s="65"/>
    </row>
    <row r="157">
      <c r="A157" s="65"/>
      <c r="B157" s="66"/>
      <c r="C157" s="66"/>
      <c r="D157" s="67"/>
      <c r="E157" s="65"/>
    </row>
    <row r="158">
      <c r="A158" s="65"/>
      <c r="B158" s="66"/>
      <c r="C158" s="66"/>
      <c r="D158" s="67"/>
      <c r="E158" s="65"/>
    </row>
    <row r="159">
      <c r="A159" s="65"/>
      <c r="B159" s="66"/>
      <c r="C159" s="66"/>
      <c r="D159" s="67"/>
      <c r="E159" s="65"/>
    </row>
    <row r="160">
      <c r="A160" s="65"/>
      <c r="B160" s="66"/>
      <c r="C160" s="66"/>
      <c r="D160" s="67"/>
      <c r="E160" s="65"/>
    </row>
    <row r="161">
      <c r="A161" s="65"/>
      <c r="B161" s="66"/>
      <c r="C161" s="66"/>
      <c r="D161" s="67"/>
      <c r="E161" s="65"/>
    </row>
    <row r="162">
      <c r="A162" s="65"/>
      <c r="B162" s="66"/>
      <c r="C162" s="66"/>
      <c r="D162" s="67"/>
      <c r="E162" s="65"/>
    </row>
    <row r="163">
      <c r="A163" s="65"/>
      <c r="B163" s="66"/>
      <c r="C163" s="66"/>
      <c r="D163" s="67"/>
      <c r="E163" s="65"/>
    </row>
    <row r="164">
      <c r="A164" s="65"/>
      <c r="B164" s="66"/>
      <c r="C164" s="66"/>
      <c r="D164" s="67"/>
      <c r="E164" s="65"/>
    </row>
    <row r="165">
      <c r="A165" s="65"/>
      <c r="B165" s="66"/>
      <c r="C165" s="66"/>
      <c r="D165" s="67"/>
      <c r="E165" s="65"/>
    </row>
    <row r="166">
      <c r="A166" s="65"/>
      <c r="B166" s="66"/>
      <c r="C166" s="66"/>
      <c r="D166" s="67"/>
      <c r="E166" s="65"/>
    </row>
    <row r="167">
      <c r="A167" s="65"/>
      <c r="B167" s="66"/>
      <c r="C167" s="66"/>
      <c r="D167" s="67"/>
      <c r="E167" s="65"/>
    </row>
    <row r="168">
      <c r="A168" s="65"/>
      <c r="B168" s="66"/>
      <c r="C168" s="66"/>
      <c r="D168" s="67"/>
      <c r="E168" s="65"/>
    </row>
    <row r="169">
      <c r="A169" s="65"/>
      <c r="B169" s="66"/>
      <c r="C169" s="66"/>
      <c r="D169" s="67"/>
      <c r="E169" s="65"/>
    </row>
    <row r="170">
      <c r="A170" s="65"/>
      <c r="B170" s="66"/>
      <c r="C170" s="66"/>
      <c r="D170" s="67"/>
      <c r="E170" s="65"/>
    </row>
    <row r="171">
      <c r="A171" s="65"/>
      <c r="B171" s="66"/>
      <c r="C171" s="66"/>
      <c r="D171" s="67"/>
      <c r="E171" s="65"/>
    </row>
    <row r="172">
      <c r="A172" s="65"/>
      <c r="B172" s="66"/>
      <c r="C172" s="66"/>
      <c r="D172" s="67"/>
      <c r="E172" s="65"/>
    </row>
    <row r="173">
      <c r="A173" s="65"/>
      <c r="B173" s="66"/>
      <c r="C173" s="66"/>
      <c r="D173" s="67"/>
      <c r="E173" s="65"/>
    </row>
    <row r="174">
      <c r="A174" s="65"/>
      <c r="B174" s="66"/>
      <c r="C174" s="66"/>
      <c r="D174" s="67"/>
      <c r="E174" s="65"/>
    </row>
    <row r="175">
      <c r="A175" s="65"/>
      <c r="B175" s="66"/>
      <c r="C175" s="66"/>
      <c r="D175" s="67"/>
      <c r="E175" s="65"/>
    </row>
    <row r="176">
      <c r="A176" s="65"/>
      <c r="B176" s="66"/>
      <c r="C176" s="66"/>
      <c r="D176" s="67"/>
      <c r="E176" s="65"/>
    </row>
    <row r="177">
      <c r="A177" s="65"/>
      <c r="B177" s="66"/>
      <c r="C177" s="66"/>
      <c r="D177" s="67"/>
      <c r="E177" s="65"/>
    </row>
    <row r="178">
      <c r="A178" s="65"/>
      <c r="B178" s="66"/>
      <c r="C178" s="66"/>
      <c r="D178" s="67"/>
      <c r="E178" s="65"/>
    </row>
    <row r="179">
      <c r="A179" s="65"/>
      <c r="B179" s="66"/>
      <c r="C179" s="66"/>
      <c r="D179" s="67"/>
      <c r="E179" s="65"/>
    </row>
    <row r="180">
      <c r="A180" s="65"/>
      <c r="B180" s="66"/>
      <c r="C180" s="66"/>
      <c r="D180" s="67"/>
      <c r="E180" s="65"/>
    </row>
    <row r="181">
      <c r="A181" s="65"/>
      <c r="B181" s="66"/>
      <c r="C181" s="66"/>
      <c r="D181" s="67"/>
      <c r="E181" s="65"/>
    </row>
    <row r="182">
      <c r="A182" s="65"/>
      <c r="B182" s="66"/>
      <c r="C182" s="66"/>
      <c r="D182" s="67"/>
      <c r="E182" s="65"/>
    </row>
    <row r="183">
      <c r="A183" s="65"/>
      <c r="B183" s="66"/>
      <c r="C183" s="66"/>
      <c r="D183" s="67"/>
      <c r="E183" s="65"/>
    </row>
    <row r="184">
      <c r="A184" s="65"/>
      <c r="B184" s="66"/>
      <c r="C184" s="66"/>
      <c r="D184" s="67"/>
      <c r="E184" s="65"/>
    </row>
    <row r="185">
      <c r="A185" s="65"/>
      <c r="B185" s="66"/>
      <c r="C185" s="66"/>
      <c r="D185" s="67"/>
      <c r="E185" s="65"/>
    </row>
    <row r="186">
      <c r="A186" s="65"/>
      <c r="B186" s="66"/>
      <c r="C186" s="66"/>
      <c r="D186" s="67"/>
      <c r="E186" s="65"/>
    </row>
    <row r="187">
      <c r="A187" s="65"/>
      <c r="B187" s="66"/>
      <c r="C187" s="66"/>
      <c r="D187" s="67"/>
      <c r="E187" s="65"/>
    </row>
    <row r="188">
      <c r="A188" s="65"/>
      <c r="B188" s="66"/>
      <c r="C188" s="66"/>
      <c r="D188" s="67"/>
      <c r="E188" s="65"/>
    </row>
    <row r="189">
      <c r="A189" s="65"/>
      <c r="B189" s="66"/>
      <c r="C189" s="66"/>
      <c r="D189" s="67"/>
      <c r="E189" s="65"/>
    </row>
    <row r="190">
      <c r="A190" s="65"/>
      <c r="B190" s="66"/>
      <c r="C190" s="66"/>
      <c r="D190" s="67"/>
      <c r="E190" s="65"/>
    </row>
    <row r="191">
      <c r="A191" s="65"/>
      <c r="B191" s="66"/>
      <c r="C191" s="66"/>
      <c r="D191" s="67"/>
      <c r="E191" s="65"/>
    </row>
    <row r="192">
      <c r="A192" s="65"/>
      <c r="B192" s="66"/>
      <c r="C192" s="66"/>
      <c r="D192" s="67"/>
      <c r="E192" s="65"/>
    </row>
    <row r="193">
      <c r="A193" s="65"/>
      <c r="B193" s="66"/>
      <c r="C193" s="66"/>
      <c r="D193" s="67"/>
      <c r="E193" s="65"/>
    </row>
    <row r="194">
      <c r="A194" s="65"/>
      <c r="B194" s="66"/>
      <c r="C194" s="66"/>
      <c r="D194" s="67"/>
      <c r="E194" s="65"/>
    </row>
    <row r="195">
      <c r="A195" s="65"/>
      <c r="B195" s="66"/>
      <c r="C195" s="66"/>
      <c r="D195" s="67"/>
      <c r="E195" s="65"/>
    </row>
    <row r="196">
      <c r="A196" s="65"/>
      <c r="B196" s="66"/>
      <c r="C196" s="66"/>
      <c r="D196" s="67"/>
      <c r="E196" s="65"/>
    </row>
    <row r="197">
      <c r="A197" s="68"/>
      <c r="B197" s="68"/>
      <c r="C197" s="68"/>
      <c r="D197" s="68"/>
      <c r="E197" s="68"/>
    </row>
    <row r="198">
      <c r="A198" s="65"/>
      <c r="B198" s="66"/>
      <c r="C198" s="66"/>
      <c r="D198" s="67"/>
      <c r="E198" s="65"/>
    </row>
    <row r="199">
      <c r="A199" s="65"/>
      <c r="B199" s="66"/>
      <c r="C199" s="66"/>
      <c r="D199" s="67"/>
      <c r="E199" s="65"/>
    </row>
    <row r="200">
      <c r="A200" s="65"/>
      <c r="B200" s="66"/>
      <c r="C200" s="66"/>
      <c r="D200" s="69"/>
      <c r="E200" s="65"/>
    </row>
    <row r="201">
      <c r="A201" s="65"/>
      <c r="B201" s="66"/>
      <c r="C201" s="66"/>
      <c r="D201" s="67"/>
      <c r="E201" s="65"/>
    </row>
    <row r="202">
      <c r="A202" s="65"/>
      <c r="B202" s="66"/>
      <c r="C202" s="66"/>
      <c r="D202" s="67"/>
      <c r="E202" s="65"/>
    </row>
    <row r="203">
      <c r="A203" s="65"/>
      <c r="B203" s="66"/>
      <c r="C203" s="66"/>
      <c r="D203" s="67"/>
      <c r="E203" s="65"/>
    </row>
    <row r="204">
      <c r="A204" s="65"/>
      <c r="B204" s="66"/>
      <c r="C204" s="66"/>
      <c r="D204" s="67"/>
      <c r="E204" s="65"/>
    </row>
    <row r="205">
      <c r="A205" s="65"/>
      <c r="B205" s="66"/>
      <c r="C205" s="66"/>
      <c r="D205" s="67"/>
      <c r="E205" s="65"/>
    </row>
    <row r="206">
      <c r="A206" s="65"/>
      <c r="B206" s="66"/>
      <c r="C206" s="66"/>
      <c r="D206" s="67"/>
      <c r="E206" s="65"/>
    </row>
    <row r="207">
      <c r="A207" s="65"/>
      <c r="B207" s="66"/>
      <c r="C207" s="66"/>
      <c r="D207" s="67"/>
      <c r="E207" s="65"/>
    </row>
    <row r="209">
      <c r="A209" s="68"/>
      <c r="B209" s="68"/>
      <c r="C209" s="68"/>
      <c r="D209" s="68"/>
      <c r="E209" s="68"/>
    </row>
    <row r="210">
      <c r="A210" s="65"/>
      <c r="B210" s="66"/>
      <c r="C210" s="66"/>
      <c r="D210" s="67"/>
      <c r="E210" s="65"/>
    </row>
    <row r="211">
      <c r="A211" s="65"/>
      <c r="B211" s="66"/>
      <c r="C211" s="66"/>
      <c r="D211" s="67"/>
      <c r="E211" s="65"/>
    </row>
    <row r="212">
      <c r="A212" s="65"/>
      <c r="B212" s="66"/>
      <c r="C212" s="66"/>
      <c r="D212" s="67"/>
      <c r="E212" s="65"/>
    </row>
    <row r="213">
      <c r="A213" s="65"/>
      <c r="B213" s="66"/>
      <c r="C213" s="66"/>
      <c r="D213" s="67"/>
      <c r="E213" s="65"/>
    </row>
    <row r="214">
      <c r="A214" s="65"/>
      <c r="B214" s="66"/>
      <c r="C214" s="66"/>
      <c r="D214" s="67"/>
      <c r="E214" s="65"/>
    </row>
    <row r="215">
      <c r="A215" s="65"/>
      <c r="B215" s="66"/>
      <c r="C215" s="66"/>
      <c r="D215" s="69"/>
      <c r="E215" s="65"/>
    </row>
    <row r="216">
      <c r="A216" s="65"/>
      <c r="B216" s="66"/>
      <c r="C216" s="66"/>
      <c r="D216" s="67"/>
      <c r="E216" s="65"/>
    </row>
    <row r="217">
      <c r="A217" s="65"/>
      <c r="B217" s="66"/>
      <c r="C217" s="66"/>
      <c r="D217" s="67"/>
      <c r="E217" s="65"/>
    </row>
    <row r="218">
      <c r="A218" s="65"/>
      <c r="B218" s="66"/>
      <c r="C218" s="66"/>
      <c r="D218" s="67"/>
      <c r="E218" s="65"/>
    </row>
    <row r="219">
      <c r="A219" s="65"/>
      <c r="B219" s="66"/>
      <c r="C219" s="66"/>
      <c r="D219" s="67"/>
      <c r="E219" s="65"/>
    </row>
    <row r="221">
      <c r="A221" s="68"/>
      <c r="B221" s="68"/>
      <c r="C221" s="68"/>
      <c r="D221" s="68"/>
      <c r="E221" s="68"/>
    </row>
    <row r="222">
      <c r="A222" s="65"/>
      <c r="B222" s="66"/>
      <c r="C222" s="66"/>
      <c r="D222" s="67"/>
      <c r="E222" s="65"/>
    </row>
    <row r="223">
      <c r="A223" s="65"/>
      <c r="B223" s="66"/>
      <c r="C223" s="66"/>
      <c r="D223" s="67"/>
      <c r="E223" s="65"/>
    </row>
    <row r="224">
      <c r="A224" s="65"/>
      <c r="B224" s="66"/>
      <c r="C224" s="66"/>
      <c r="D224" s="67"/>
      <c r="E224" s="65"/>
    </row>
    <row r="225">
      <c r="A225" s="65"/>
      <c r="B225" s="66"/>
      <c r="C225" s="66"/>
      <c r="D225" s="67"/>
      <c r="E225" s="65"/>
    </row>
    <row r="226">
      <c r="A226" s="65"/>
      <c r="B226" s="66"/>
      <c r="C226" s="66"/>
      <c r="D226" s="67"/>
      <c r="E226" s="65"/>
    </row>
    <row r="227">
      <c r="A227" s="65"/>
      <c r="B227" s="66"/>
      <c r="C227" s="66"/>
      <c r="D227" s="67"/>
      <c r="E227" s="65"/>
    </row>
    <row r="228">
      <c r="A228" s="65"/>
      <c r="B228" s="66"/>
      <c r="C228" s="66"/>
      <c r="D228" s="67"/>
      <c r="E228" s="65"/>
    </row>
    <row r="229">
      <c r="A229" s="65"/>
      <c r="B229" s="66"/>
      <c r="C229" s="66"/>
      <c r="D229" s="67"/>
      <c r="E229" s="65"/>
    </row>
    <row r="230">
      <c r="A230" s="65"/>
      <c r="B230" s="66"/>
      <c r="C230" s="66"/>
      <c r="D230" s="67"/>
      <c r="E230" s="65"/>
    </row>
    <row r="231">
      <c r="A231" s="65"/>
      <c r="B231" s="66"/>
      <c r="C231" s="66"/>
      <c r="D231" s="67"/>
      <c r="E231" s="65"/>
    </row>
    <row r="233">
      <c r="A233" s="68"/>
      <c r="B233" s="68"/>
      <c r="C233" s="68"/>
      <c r="D233" s="68"/>
      <c r="E233" s="68"/>
    </row>
    <row r="234">
      <c r="A234" s="65"/>
      <c r="B234" s="66"/>
      <c r="C234" s="66"/>
      <c r="D234" s="67"/>
      <c r="E234" s="65"/>
    </row>
    <row r="235">
      <c r="A235" s="65"/>
      <c r="B235" s="66"/>
      <c r="C235" s="66"/>
      <c r="D235" s="67"/>
      <c r="E235" s="65"/>
    </row>
    <row r="236">
      <c r="A236" s="65"/>
      <c r="B236" s="66"/>
      <c r="C236" s="66"/>
      <c r="D236" s="67"/>
      <c r="E236" s="65"/>
    </row>
    <row r="237">
      <c r="A237" s="65"/>
      <c r="B237" s="66"/>
      <c r="C237" s="66"/>
      <c r="D237" s="67"/>
      <c r="E237" s="65"/>
    </row>
    <row r="238">
      <c r="A238" s="65"/>
      <c r="B238" s="66"/>
      <c r="C238" s="66"/>
      <c r="D238" s="67"/>
      <c r="E238" s="70"/>
    </row>
    <row r="239">
      <c r="A239" s="65"/>
      <c r="B239" s="66"/>
      <c r="C239" s="66"/>
      <c r="D239" s="67"/>
      <c r="E239" s="65"/>
    </row>
    <row r="240">
      <c r="A240" s="65"/>
      <c r="B240" s="66"/>
      <c r="C240" s="66"/>
      <c r="D240" s="67"/>
      <c r="E240" s="65"/>
    </row>
    <row r="241">
      <c r="A241" s="65"/>
      <c r="B241" s="66"/>
      <c r="C241" s="66"/>
      <c r="D241" s="67"/>
      <c r="E241" s="65"/>
    </row>
    <row r="242">
      <c r="A242" s="65"/>
      <c r="B242" s="66"/>
      <c r="C242" s="66"/>
      <c r="D242" s="67"/>
      <c r="E242" s="65"/>
    </row>
    <row r="243">
      <c r="A243" s="65"/>
      <c r="B243" s="66"/>
      <c r="C243" s="66"/>
      <c r="D243" s="67"/>
      <c r="E243" s="65"/>
    </row>
    <row r="245">
      <c r="A245" s="68"/>
      <c r="B245" s="68"/>
      <c r="C245" s="68"/>
      <c r="D245" s="68"/>
      <c r="E245" s="68"/>
    </row>
    <row r="246">
      <c r="A246" s="65"/>
      <c r="B246" s="66"/>
      <c r="C246" s="66"/>
      <c r="D246" s="67"/>
      <c r="E246" s="65"/>
    </row>
    <row r="249">
      <c r="A249" s="68"/>
      <c r="B249" s="68"/>
      <c r="C249" s="68"/>
      <c r="D249" s="68"/>
      <c r="E249" s="68"/>
    </row>
    <row r="250">
      <c r="A250" s="68"/>
      <c r="B250" s="68"/>
      <c r="C250" s="68"/>
      <c r="D250" s="68"/>
      <c r="E250" s="68"/>
    </row>
    <row r="269">
      <c r="A269" s="65"/>
      <c r="B269" s="66"/>
      <c r="C269" s="66"/>
      <c r="D269" s="67"/>
      <c r="E269" s="65"/>
    </row>
    <row r="270">
      <c r="A270" s="65"/>
      <c r="B270" s="66"/>
      <c r="C270" s="66"/>
      <c r="D270" s="67"/>
      <c r="E270" s="6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0"/>
    <col customWidth="1" min="4" max="4" width="77.88"/>
  </cols>
  <sheetData>
    <row r="1">
      <c r="A1" s="71" t="s">
        <v>304</v>
      </c>
      <c r="B1" s="71" t="s">
        <v>305</v>
      </c>
      <c r="C1" s="71" t="s">
        <v>45</v>
      </c>
      <c r="D1" s="71" t="s">
        <v>306</v>
      </c>
      <c r="E1" s="72" t="s">
        <v>307</v>
      </c>
    </row>
    <row r="2">
      <c r="A2" s="5"/>
      <c r="B2" s="73"/>
      <c r="C2" s="5"/>
      <c r="D2" s="74"/>
    </row>
    <row r="3">
      <c r="A3" s="5"/>
      <c r="B3" s="73"/>
      <c r="C3" s="75"/>
      <c r="D3" s="5"/>
    </row>
    <row r="4">
      <c r="A4" s="5"/>
      <c r="B4" s="76"/>
      <c r="C4" s="5"/>
      <c r="D4" s="5"/>
    </row>
    <row r="5">
      <c r="A5" s="5"/>
      <c r="B5" s="76"/>
      <c r="C5" s="5"/>
      <c r="D5" s="5"/>
    </row>
    <row r="6">
      <c r="A6" s="5"/>
      <c r="B6" s="73"/>
      <c r="C6" s="75"/>
      <c r="D6" s="77"/>
      <c r="E6" s="5"/>
      <c r="F6" s="5"/>
      <c r="G6" s="5"/>
      <c r="H6" s="5"/>
      <c r="I6" s="5"/>
      <c r="J6" s="5"/>
      <c r="K6" s="5"/>
      <c r="L6" s="5"/>
      <c r="M6" s="5"/>
      <c r="N6" s="5"/>
      <c r="O6" s="5"/>
      <c r="P6" s="5"/>
      <c r="Q6" s="5"/>
      <c r="R6" s="5"/>
      <c r="S6" s="5"/>
      <c r="T6" s="5"/>
      <c r="U6" s="5"/>
      <c r="V6" s="5"/>
      <c r="W6" s="5"/>
      <c r="X6" s="5"/>
      <c r="Y6" s="5"/>
      <c r="Z6" s="5"/>
    </row>
    <row r="7">
      <c r="A7" s="78"/>
      <c r="B7" s="66"/>
      <c r="C7" s="67"/>
      <c r="D7" s="65"/>
      <c r="E7" s="79"/>
    </row>
    <row r="8">
      <c r="B8" s="39"/>
      <c r="C8" s="38"/>
      <c r="D8" s="80"/>
    </row>
    <row r="9">
      <c r="B9" s="57"/>
      <c r="C9" s="38"/>
    </row>
  </sheetData>
  <drawing r:id="rId1"/>
</worksheet>
</file>